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ervm-my.sharepoint.com/personal/ben_clifton_engineroomvm_com/Documents/Documents/Hermes/practice-intelligence/03-template/01_cost/"/>
    </mc:Choice>
  </mc:AlternateContent>
  <xr:revisionPtr revIDLastSave="42" documentId="11_6E9CBD036DED7565A5F61F9042C83B1455C62493" xr6:coauthVersionLast="47" xr6:coauthVersionMax="47" xr10:uidLastSave="{BAC7B4BE-036A-43C7-B4E4-66AC942780FE}"/>
  <bookViews>
    <workbookView xWindow="2550" yWindow="1995" windowWidth="25380" windowHeight="16065" xr2:uid="{00000000-000D-0000-FFFF-FFFF00000000}"/>
  </bookViews>
  <sheets>
    <sheet name="Project Summary" sheetId="1" r:id="rId1"/>
    <sheet name="Invoices" sheetId="2" r:id="rId2"/>
    <sheet name="Variations" sheetId="3" r:id="rId3"/>
  </sheets>
  <definedNames>
    <definedName name="Co_Role">'Project Summary'!$B$13:$C$23</definedName>
    <definedName name="Headers">#REF!</definedName>
    <definedName name="Headers1">#REF!</definedName>
    <definedName name="Log">#REF!</definedName>
    <definedName name="_xlnm.Print_Area" localSheetId="1">Invoices!$B$1:$I$15</definedName>
    <definedName name="_xlnm.Print_Area" localSheetId="0">'Project Summary'!$A$1:$L$36</definedName>
    <definedName name="_xlnm.Print_Area" localSheetId="2">Variations!$A$1:$G$19</definedName>
    <definedName name="_xlnm.Recorder">#N/A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1" l="1"/>
  <c r="G25" i="1"/>
  <c r="J25" i="1"/>
  <c r="K25" i="1"/>
  <c r="F26" i="1"/>
  <c r="G26" i="1"/>
  <c r="J26" i="1"/>
  <c r="K26" i="1"/>
  <c r="F27" i="1"/>
  <c r="G27" i="1"/>
  <c r="J27" i="1"/>
  <c r="K27" i="1"/>
  <c r="K24" i="1"/>
  <c r="J24" i="1"/>
  <c r="G24" i="1"/>
  <c r="F24" i="1"/>
  <c r="F16" i="1"/>
  <c r="G16" i="1"/>
  <c r="J16" i="1"/>
  <c r="K16" i="1"/>
  <c r="F17" i="1"/>
  <c r="G17" i="1"/>
  <c r="J17" i="1"/>
  <c r="K17" i="1"/>
  <c r="F18" i="1"/>
  <c r="G18" i="1"/>
  <c r="J18" i="1"/>
  <c r="K18" i="1"/>
  <c r="F19" i="1"/>
  <c r="G19" i="1"/>
  <c r="J19" i="1"/>
  <c r="K19" i="1"/>
  <c r="K15" i="1"/>
  <c r="J15" i="1"/>
  <c r="G15" i="1"/>
  <c r="F15" i="1"/>
  <c r="H15" i="1" s="1"/>
  <c r="F4" i="3"/>
  <c r="I4" i="2"/>
  <c r="E18" i="3"/>
  <c r="G15" i="2"/>
  <c r="K31" i="1"/>
  <c r="J31" i="1"/>
  <c r="J32" i="1" s="1"/>
  <c r="G31" i="1"/>
  <c r="F31" i="1"/>
  <c r="D31" i="1"/>
  <c r="D32" i="1" s="1"/>
  <c r="K30" i="1"/>
  <c r="G30" i="1"/>
  <c r="F30" i="1"/>
  <c r="D30" i="1"/>
  <c r="E30" i="1" s="1"/>
  <c r="E28" i="1"/>
  <c r="D28" i="1"/>
  <c r="K23" i="1"/>
  <c r="D20" i="1"/>
  <c r="K14" i="1"/>
  <c r="J14" i="1"/>
  <c r="G14" i="1"/>
  <c r="F14" i="1"/>
  <c r="D11" i="1"/>
  <c r="K10" i="1"/>
  <c r="J10" i="1"/>
  <c r="G10" i="1"/>
  <c r="F10" i="1"/>
  <c r="E10" i="1"/>
  <c r="K9" i="1"/>
  <c r="J9" i="1"/>
  <c r="G9" i="1"/>
  <c r="F9" i="1"/>
  <c r="E9" i="1"/>
  <c r="K8" i="1"/>
  <c r="J8" i="1"/>
  <c r="G8" i="1"/>
  <c r="F8" i="1"/>
  <c r="E8" i="1"/>
  <c r="K7" i="1"/>
  <c r="J7" i="1"/>
  <c r="H25" i="1" l="1"/>
  <c r="H27" i="1"/>
  <c r="L27" i="1" s="1"/>
  <c r="H26" i="1"/>
  <c r="L26" i="1" s="1"/>
  <c r="I26" i="1"/>
  <c r="H24" i="1"/>
  <c r="L24" i="1" s="1"/>
  <c r="I25" i="1"/>
  <c r="L25" i="1"/>
  <c r="I24" i="1"/>
  <c r="H19" i="1"/>
  <c r="I19" i="1" s="1"/>
  <c r="H17" i="1"/>
  <c r="I17" i="1" s="1"/>
  <c r="H18" i="1"/>
  <c r="L18" i="1" s="1"/>
  <c r="H16" i="1"/>
  <c r="I16" i="1" s="1"/>
  <c r="L15" i="1"/>
  <c r="I15" i="1"/>
  <c r="G32" i="1"/>
  <c r="E11" i="1"/>
  <c r="G11" i="1"/>
  <c r="F32" i="1"/>
  <c r="J20" i="1"/>
  <c r="J11" i="1"/>
  <c r="H10" i="1"/>
  <c r="L10" i="1" s="1"/>
  <c r="F11" i="1"/>
  <c r="K20" i="1"/>
  <c r="J28" i="1"/>
  <c r="K28" i="1"/>
  <c r="F28" i="1"/>
  <c r="H8" i="1"/>
  <c r="G28" i="1"/>
  <c r="E31" i="1"/>
  <c r="E32" i="1" s="1"/>
  <c r="H9" i="1"/>
  <c r="I9" i="1" s="1"/>
  <c r="H14" i="1"/>
  <c r="L14" i="1" s="1"/>
  <c r="G20" i="1"/>
  <c r="D34" i="1"/>
  <c r="E20" i="1"/>
  <c r="F20" i="1"/>
  <c r="I27" i="1" l="1"/>
  <c r="L17" i="1"/>
  <c r="L19" i="1"/>
  <c r="I18" i="1"/>
  <c r="L16" i="1"/>
  <c r="L20" i="1" s="1"/>
  <c r="H11" i="1"/>
  <c r="I10" i="1"/>
  <c r="L9" i="1"/>
  <c r="I14" i="1"/>
  <c r="E34" i="1"/>
  <c r="L31" i="1"/>
  <c r="L32" i="1" s="1"/>
  <c r="K34" i="1"/>
  <c r="H20" i="1"/>
  <c r="G34" i="1"/>
  <c r="J34" i="1"/>
  <c r="L8" i="1"/>
  <c r="I8" i="1"/>
  <c r="H31" i="1"/>
  <c r="F34" i="1"/>
  <c r="H28" i="1"/>
  <c r="L28" i="1"/>
  <c r="I11" i="1" l="1"/>
  <c r="I20" i="1"/>
  <c r="I28" i="1"/>
  <c r="L11" i="1"/>
  <c r="L34" i="1" s="1"/>
  <c r="I31" i="1"/>
  <c r="H32" i="1"/>
  <c r="H34" i="1" s="1"/>
  <c r="I34" i="1" l="1"/>
</calcChain>
</file>

<file path=xl/sharedStrings.xml><?xml version="1.0" encoding="utf-8"?>
<sst xmlns="http://schemas.openxmlformats.org/spreadsheetml/2006/main" count="91" uniqueCount="45">
  <si>
    <t>PROJECT COST REPORT</t>
  </si>
  <si>
    <t>*Note: All figures exclude GST</t>
  </si>
  <si>
    <t>VARIATIONS</t>
  </si>
  <si>
    <t>Cost Code</t>
  </si>
  <si>
    <t>Company</t>
  </si>
  <si>
    <t>Description/Role</t>
  </si>
  <si>
    <t>Budget</t>
  </si>
  <si>
    <t>Approved Contract</t>
  </si>
  <si>
    <t>Forecast</t>
  </si>
  <si>
    <t>Approved</t>
  </si>
  <si>
    <t>Forecast Final Cost</t>
  </si>
  <si>
    <t>BUDGET VARIANCE</t>
  </si>
  <si>
    <t>Claimed to Date</t>
  </si>
  <si>
    <t>Claimed this Month</t>
  </si>
  <si>
    <t>Remaining to be invoiced</t>
  </si>
  <si>
    <t>FEES AND CHARGES</t>
  </si>
  <si>
    <t>Sub-Total</t>
  </si>
  <si>
    <t>CONSULTANTS</t>
  </si>
  <si>
    <t>CONSTRUCTION</t>
  </si>
  <si>
    <t>CONTINGENCY</t>
  </si>
  <si>
    <t>GRAND TOTAL</t>
  </si>
  <si>
    <t>Excluding PM fee</t>
  </si>
  <si>
    <t>PROJECT COST REPORT - INVOICES</t>
  </si>
  <si>
    <t>Date</t>
  </si>
  <si>
    <t>PO Number</t>
  </si>
  <si>
    <t>Invoice Number</t>
  </si>
  <si>
    <t>Amount</t>
  </si>
  <si>
    <t>Current Month</t>
  </si>
  <si>
    <t>Paid?</t>
  </si>
  <si>
    <t>Column1</t>
  </si>
  <si>
    <t>TOTALS</t>
  </si>
  <si>
    <t>PROJECT COST REPORT - VARIATIONS</t>
  </si>
  <si>
    <t>Date Submitted</t>
  </si>
  <si>
    <t>Description</t>
  </si>
  <si>
    <t>Variation To</t>
  </si>
  <si>
    <t>Status</t>
  </si>
  <si>
    <t>Amount Approved</t>
  </si>
  <si>
    <t>Date Approved</t>
  </si>
  <si>
    <t>Estimate Cost</t>
  </si>
  <si>
    <t>Rejected</t>
  </si>
  <si>
    <t>Withdrawn</t>
  </si>
  <si>
    <t>Total</t>
  </si>
  <si>
    <t>v01</t>
  </si>
  <si>
    <t>PROJEC NAME</t>
  </si>
  <si>
    <t>PROJECT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</si>
</sst>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43" formatCode="_-* #,##0.00_-;\-* #,##0.00_-;_-* &quot;-&quot;??_-;_-@_-"/>
    <numFmt numFmtId="164" formatCode="[$-C09]dd\-mmmm\-yy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name val="Verdana"/>
      <family val="2"/>
    </font>
    <font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9"/>
      <name val="Calibri"/>
      <family val="2"/>
      <scheme val="minor"/>
    </font>
    <font>
      <i/>
      <sz val="9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"/>
      <name val="Calibri"/>
      <family val="2"/>
      <scheme val="minor"/>
    </font>
    <font>
      <sz val="9"/>
      <color rgb="FF0070C0"/>
      <name val="Calibri"/>
      <family val="2"/>
      <scheme val="minor"/>
    </font>
    <font>
      <sz val="9"/>
      <color rgb="FF0070C0"/>
      <name val="Arial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 tint="0.499984740745262"/>
        <bgColor indexed="64"/>
      </patternFill>
    </fill>
  </fills>
  <borders count="4">
    <border>
      <left/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4" fontId="1" fillId="0" borderId="0"/>
    <xf numFmtId="0" fontId="8" fillId="0" borderId="0"/>
    <xf numFmtId="9" fontId="8" fillId="0" borderId="0"/>
    <xf numFmtId="44" fontId="1" fillId="0" borderId="0"/>
    <xf numFmtId="43" fontId="1" fillId="0" borderId="0"/>
  </cellStyleXfs>
  <cellXfs count="78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44" fontId="4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44" fontId="6" fillId="0" borderId="0" xfId="1" applyFont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 wrapText="1"/>
    </xf>
    <xf numFmtId="2" fontId="7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44" fontId="0" fillId="0" borderId="0" xfId="1" applyFont="1" applyAlignment="1" applyProtection="1">
      <alignment horizontal="center" vertical="center" wrapText="1"/>
      <protection locked="0"/>
    </xf>
    <xf numFmtId="44" fontId="4" fillId="0" borderId="0" xfId="1" applyFont="1" applyAlignment="1">
      <alignment horizontal="center" vertical="center" wrapText="1"/>
    </xf>
    <xf numFmtId="44" fontId="6" fillId="0" borderId="0" xfId="0" applyNumberFormat="1" applyFont="1" applyAlignment="1">
      <alignment horizontal="center" vertical="center" wrapText="1"/>
    </xf>
    <xf numFmtId="2" fontId="9" fillId="0" borderId="0" xfId="0" applyNumberFormat="1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2" fontId="10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44" fontId="4" fillId="0" borderId="0" xfId="1" applyFont="1" applyAlignment="1">
      <alignment horizontal="left" vertical="center" wrapText="1"/>
    </xf>
    <xf numFmtId="44" fontId="4" fillId="0" borderId="0" xfId="1" applyFont="1" applyAlignment="1" applyProtection="1">
      <alignment horizontal="left" vertical="center" wrapText="1"/>
      <protection locked="0"/>
    </xf>
    <xf numFmtId="44" fontId="4" fillId="0" borderId="0" xfId="0" applyNumberFormat="1" applyFont="1" applyAlignment="1">
      <alignment horizontal="left" vertical="center" wrapText="1"/>
    </xf>
    <xf numFmtId="44" fontId="4" fillId="0" borderId="0" xfId="0" applyNumberFormat="1" applyFont="1" applyAlignment="1" applyProtection="1">
      <alignment horizontal="left" vertical="center" wrapText="1"/>
      <protection locked="0"/>
    </xf>
    <xf numFmtId="2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44" fontId="4" fillId="2" borderId="1" xfId="1" applyFont="1" applyFill="1" applyBorder="1" applyAlignment="1">
      <alignment horizontal="left" vertical="center" wrapText="1"/>
    </xf>
    <xf numFmtId="44" fontId="4" fillId="0" borderId="1" xfId="1" applyFont="1" applyBorder="1" applyAlignment="1">
      <alignment horizontal="left" vertical="center" wrapText="1"/>
    </xf>
    <xf numFmtId="44" fontId="9" fillId="0" borderId="0" xfId="1" applyFont="1" applyAlignment="1">
      <alignment horizontal="left" vertical="center" wrapText="1"/>
    </xf>
    <xf numFmtId="2" fontId="4" fillId="0" borderId="0" xfId="0" applyNumberFormat="1" applyFont="1" applyAlignment="1">
      <alignment horizontal="left" vertical="center" wrapText="1"/>
    </xf>
    <xf numFmtId="0" fontId="4" fillId="0" borderId="0" xfId="0" applyFont="1"/>
    <xf numFmtId="44" fontId="4" fillId="0" borderId="0" xfId="0" applyNumberFormat="1" applyFont="1"/>
    <xf numFmtId="2" fontId="10" fillId="3" borderId="2" xfId="0" applyNumberFormat="1" applyFont="1" applyFill="1" applyBorder="1" applyAlignment="1">
      <alignment horizontal="left" vertical="center" wrapText="1"/>
    </xf>
    <xf numFmtId="44" fontId="10" fillId="3" borderId="3" xfId="1" applyFont="1" applyFill="1" applyBorder="1" applyAlignment="1">
      <alignment horizontal="left" vertical="center" wrapText="1"/>
    </xf>
    <xf numFmtId="2" fontId="13" fillId="0" borderId="0" xfId="0" applyNumberFormat="1" applyFont="1" applyAlignment="1">
      <alignment horizontal="left" vertical="center"/>
    </xf>
    <xf numFmtId="164" fontId="13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2" fontId="11" fillId="5" borderId="0" xfId="0" applyNumberFormat="1" applyFont="1" applyFill="1" applyAlignment="1">
      <alignment horizontal="center" vertical="center" wrapText="1"/>
    </xf>
    <xf numFmtId="0" fontId="11" fillId="5" borderId="0" xfId="0" applyFont="1" applyFill="1" applyAlignment="1">
      <alignment horizontal="center" vertical="center" wrapText="1"/>
    </xf>
    <xf numFmtId="2" fontId="10" fillId="0" borderId="0" xfId="0" applyNumberFormat="1" applyFont="1" applyAlignment="1">
      <alignment horizontal="left" vertical="center"/>
    </xf>
    <xf numFmtId="0" fontId="15" fillId="3" borderId="3" xfId="0" applyFont="1" applyFill="1" applyBorder="1" applyAlignment="1">
      <alignment horizontal="left" vertical="center" wrapText="1"/>
    </xf>
    <xf numFmtId="0" fontId="16" fillId="3" borderId="3" xfId="0" applyFont="1" applyFill="1" applyBorder="1" applyAlignment="1">
      <alignment horizontal="left" vertical="center" wrapText="1"/>
    </xf>
    <xf numFmtId="2" fontId="19" fillId="0" borderId="0" xfId="0" applyNumberFormat="1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9" fillId="0" borderId="0" xfId="0" applyFont="1" applyAlignment="1">
      <alignment horizontal="left" vertical="center" wrapText="1"/>
    </xf>
    <xf numFmtId="44" fontId="19" fillId="0" borderId="0" xfId="1" applyFont="1" applyAlignment="1">
      <alignment horizontal="left" vertical="center" wrapText="1"/>
    </xf>
    <xf numFmtId="0" fontId="19" fillId="0" borderId="0" xfId="0" applyFont="1" applyAlignment="1">
      <alignment horizontal="center" vertical="center" wrapText="1"/>
    </xf>
    <xf numFmtId="44" fontId="17" fillId="0" borderId="0" xfId="1" applyFont="1" applyAlignment="1" applyProtection="1">
      <alignment horizontal="center" vertical="center" wrapText="1"/>
      <protection locked="0"/>
    </xf>
    <xf numFmtId="0" fontId="17" fillId="0" borderId="0" xfId="0" applyFont="1" applyAlignment="1">
      <alignment horizontal="center" vertical="center" wrapText="1"/>
    </xf>
    <xf numFmtId="2" fontId="5" fillId="4" borderId="0" xfId="0" applyNumberFormat="1" applyFont="1" applyFill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1" fontId="4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14" fontId="21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2" fontId="0" fillId="0" borderId="0" xfId="0" applyNumberFormat="1" applyAlignment="1">
      <alignment horizontal="left" vertical="center" wrapText="1"/>
    </xf>
    <xf numFmtId="0" fontId="21" fillId="0" borderId="0" xfId="0" applyFont="1" applyAlignment="1" applyProtection="1">
      <alignment horizontal="center" vertical="center"/>
      <protection locked="0"/>
    </xf>
    <xf numFmtId="44" fontId="21" fillId="0" borderId="0" xfId="1" applyFont="1" applyAlignment="1" applyProtection="1">
      <alignment horizontal="center" vertical="center"/>
      <protection locked="0"/>
    </xf>
    <xf numFmtId="14" fontId="21" fillId="0" borderId="0" xfId="1" applyNumberFormat="1" applyFont="1" applyAlignment="1" applyProtection="1">
      <alignment horizontal="center" vertical="center"/>
      <protection locked="0"/>
    </xf>
    <xf numFmtId="0" fontId="21" fillId="0" borderId="0" xfId="0" applyFont="1" applyAlignment="1" applyProtection="1">
      <alignment vertical="center"/>
      <protection locked="0"/>
    </xf>
    <xf numFmtId="0" fontId="0" fillId="0" borderId="0" xfId="0" applyAlignment="1">
      <alignment vertical="center"/>
    </xf>
    <xf numFmtId="17" fontId="21" fillId="0" borderId="0" xfId="0" applyNumberFormat="1" applyFont="1" applyAlignment="1">
      <alignment horizontal="center" vertical="center"/>
    </xf>
    <xf numFmtId="2" fontId="21" fillId="0" borderId="0" xfId="0" applyNumberFormat="1" applyFont="1" applyAlignment="1" applyProtection="1">
      <alignment horizontal="left" vertical="center"/>
      <protection locked="0"/>
    </xf>
    <xf numFmtId="0" fontId="21" fillId="0" borderId="0" xfId="0" applyFont="1" applyAlignment="1" applyProtection="1">
      <alignment horizontal="left" vertical="center"/>
      <protection locked="0"/>
    </xf>
    <xf numFmtId="44" fontId="21" fillId="0" borderId="0" xfId="0" applyNumberFormat="1" applyFont="1" applyAlignment="1" applyProtection="1">
      <alignment horizontal="center" vertical="center"/>
      <protection locked="0"/>
    </xf>
    <xf numFmtId="0" fontId="12" fillId="0" borderId="0" xfId="0" applyFont="1" applyAlignment="1">
      <alignment horizontal="left" vertical="center"/>
    </xf>
    <xf numFmtId="0" fontId="18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2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2" fontId="13" fillId="0" borderId="0" xfId="0" applyNumberFormat="1" applyFont="1" applyAlignment="1">
      <alignment horizontal="left" vertical="center" wrapText="1"/>
    </xf>
    <xf numFmtId="0" fontId="10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</cellXfs>
  <cellStyles count="6">
    <cellStyle name="Comma 2" xfId="5" xr:uid="{00000000-0005-0000-0000-000005000000}"/>
    <cellStyle name="Currency" xfId="1" builtinId="4"/>
    <cellStyle name="Currency 2" xfId="4" xr:uid="{00000000-0005-0000-0000-000004000000}"/>
    <cellStyle name="Normal" xfId="0" builtinId="0"/>
    <cellStyle name="Normal 4" xfId="2" xr:uid="{00000000-0005-0000-0000-000002000000}"/>
    <cellStyle name="Percent 2" xfId="3" xr:uid="{00000000-0005-0000-0000-000003000000}"/>
  </cellStyles>
  <dxfs count="171">
    <dxf>
      <font>
        <color rgb="FFFF0000"/>
      </font>
    </dxf>
    <dxf>
      <fill>
        <patternFill>
          <bgColor theme="5" tint="0.79998168889431442"/>
        </patternFill>
      </fill>
    </dxf>
    <dxf>
      <font>
        <color rgb="FFFF0000"/>
      </font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4" tint="0.79998168889431442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fill>
        <patternFill>
          <fgColor indexed="64"/>
          <bgColor auto="1"/>
        </patternFill>
      </fill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numFmt numFmtId="34" formatCode="_-&quot;$&quot;* #,##0.00_-;\-&quot;$&quot;* #,##0.00_-;_-&quot;$&quot;* &quot;-&quot;??_-;_-@_-"/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fill>
        <patternFill>
          <fgColor indexed="64"/>
          <bgColor auto="1"/>
        </patternFill>
      </fill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alignment horizontal="center" vertical="center"/>
      <protection locked="0" hidden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fill>
        <patternFill>
          <fgColor indexed="64"/>
          <bgColor auto="1"/>
        </patternFill>
      </fill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alignment horizontal="general" vertical="center"/>
      <protection locked="0" hidden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numFmt numFmtId="2" formatCode="0.00"/>
      <fill>
        <patternFill>
          <fgColor indexed="64"/>
          <bgColor auto="1"/>
        </patternFill>
      </fill>
      <alignment horizontal="general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/>
      <protection locked="0" hidden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numFmt numFmtId="2" formatCode="0.00"/>
      <fill>
        <patternFill>
          <fgColor indexed="64"/>
          <bgColor auto="1"/>
        </patternFill>
      </fill>
      <alignment horizontal="left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alignment horizontal="center" vertical="center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fill>
        <patternFill>
          <fgColor indexed="64"/>
          <bgColor auto="1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fill>
        <patternFill>
          <fgColor indexed="64"/>
          <bgColor auto="1"/>
        </patternFill>
      </fill>
      <alignment horizontal="center" vertical="center"/>
      <protection locked="0" hidden="0"/>
    </dxf>
    <dxf>
      <font>
        <b val="0"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</dxf>
    <dxf>
      <alignment horizontal="center" vertical="center" wrapText="1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>
          <fgColor indexed="64"/>
          <bgColor auto="1"/>
        </patternFill>
      </fill>
      <alignment horizontal="center" vertical="center" wrapText="1"/>
      <protection locked="0" hidden="0"/>
    </dxf>
    <dxf>
      <numFmt numFmtId="34" formatCode="_-&quot;$&quot;* #,##0.00_-;\-&quot;$&quot;* #,##0.00_-;_-&quot;$&quot;* &quot;-&quot;??_-;_-@_-"/>
      <alignment horizontal="center" vertical="center" wrapText="1"/>
      <protection locked="0" hidden="0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2" formatCode="0.00"/>
      <fill>
        <patternFill>
          <fgColor indexed="64"/>
          <bgColor auto="1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34" formatCode="_-&quot;$&quot;* #,##0.00_-;\-&quot;$&quot;* #,##0.00_-;_-&quot;$&quot;* &quot;-&quot;??_-;_-@_-"/>
      <alignment horizontal="center" vertical="center" wrapText="1"/>
      <protection locked="0" hidden="0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2" formatCode="0.00"/>
      <fill>
        <patternFill>
          <fgColor indexed="64"/>
          <bgColor indexed="65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34" formatCode="_-&quot;$&quot;* #,##0.00_-;\-&quot;$&quot;* #,##0.00_-;_-&quot;$&quot;* &quot;-&quot;??_-;_-@_-"/>
      <alignment horizontal="center" vertical="center" wrapText="1"/>
      <protection locked="0" hidden="0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2" formatCode="0.00"/>
      <fill>
        <patternFill>
          <fgColor indexed="64"/>
          <bgColor auto="1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center" vertical="center" wrapText="1"/>
      <protection locked="0" hidden="0"/>
    </dxf>
    <dxf>
      <font>
        <sz val="9"/>
      </font>
      <numFmt numFmtId="2" formatCode="0.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center" vertical="center" wrapText="1"/>
      <protection locked="0" hidden="0"/>
    </dxf>
    <dxf>
      <font>
        <sz val="9"/>
      </font>
      <numFmt numFmtId="2" formatCode="0.00"/>
      <fill>
        <patternFill>
          <fgColor indexed="64"/>
          <bgColor auto="1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center" vertical="center" wrapText="1"/>
      <protection locked="0" hidden="0"/>
    </dxf>
    <dxf>
      <font>
        <sz val="9"/>
      </font>
      <numFmt numFmtId="2" formatCode="0.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rgb="FFFF0000"/>
        <name val="Calibri"/>
        <family val="2"/>
        <scheme val="minor"/>
      </font>
      <alignment horizontal="center" vertical="center" wrapText="1"/>
      <protection locked="0" hidden="0"/>
    </dxf>
    <dxf>
      <font>
        <sz val="9"/>
      </font>
      <numFmt numFmtId="2" formatCode="0.00"/>
      <fill>
        <patternFill>
          <fgColor indexed="64"/>
          <bgColor auto="1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z val="9"/>
      </font>
      <numFmt numFmtId="2" formatCode="0.00"/>
      <fill>
        <patternFill>
          <fgColor indexed="64"/>
          <bgColor auto="1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  <alignment horizontal="center" vertical="center" wrapText="1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>
          <fgColor indexed="64"/>
          <bgColor auto="1"/>
        </patternFill>
      </fill>
      <alignment horizontal="center" vertical="center" wrapText="1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34" formatCode="_-&quot;$&quot;* #,##0.00_-;\-&quot;$&quot;* #,##0.00_-;_-&quot;$&quot;* &quot;-&quot;??_-;_-@_-"/>
    </dxf>
    <dxf>
      <font>
        <strike val="0"/>
        <outline val="0"/>
        <shadow val="0"/>
        <vertAlign val="baseline"/>
        <sz val="9"/>
      </font>
      <fill>
        <patternFill>
          <fgColor indexed="64"/>
          <bgColor auto="1"/>
        </patternFill>
      </fill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34" formatCode="_-&quot;$&quot;* #,##0.00_-;\-&quot;$&quot;* #,##0.00_-;_-&quot;$&quot;* &quot;-&quot;??_-;_-@_-"/>
    </dxf>
    <dxf>
      <font>
        <strike val="0"/>
        <outline val="0"/>
        <shadow val="0"/>
        <vertAlign val="baseline"/>
        <sz val="9"/>
      </font>
      <numFmt numFmtId="34" formatCode="_-&quot;$&quot;* #,##0.00_-;\-&quot;$&quot;* #,##0.00_-;_-&quot;$&quot;* &quot;-&quot;??_-;_-@_-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34" formatCode="_-&quot;$&quot;* #,##0.00_-;\-&quot;$&quot;* #,##0.00_-;_-&quot;$&quot;* &quot;-&quot;??_-;_-@_-"/>
    </dxf>
    <dxf>
      <font>
        <strike val="0"/>
        <outline val="0"/>
        <shadow val="0"/>
        <vertAlign val="baseline"/>
        <sz val="9"/>
      </font>
      <fill>
        <patternFill>
          <fgColor indexed="64"/>
          <bgColor auto="1"/>
        </patternFill>
      </fill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9"/>
      </font>
      <fill>
        <patternFill>
          <fgColor indexed="64"/>
          <bgColor auto="1"/>
        </patternFill>
      </fill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34" formatCode="_-&quot;$&quot;* #,##0.00_-;\-&quot;$&quot;* #,##0.00_-;_-&quot;$&quot;* &quot;-&quot;??_-;_-@_-"/>
    </dxf>
    <dxf>
      <font>
        <strike val="0"/>
        <outline val="0"/>
        <shadow val="0"/>
        <vertAlign val="baseline"/>
        <sz val="9"/>
      </font>
      <fill>
        <patternFill>
          <fgColor indexed="64"/>
          <bgColor auto="1"/>
        </patternFill>
      </fill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34" formatCode="_-&quot;$&quot;* #,##0.00_-;\-&quot;$&quot;* #,##0.00_-;_-&quot;$&quot;* &quot;-&quot;??_-;_-@_-"/>
    </dxf>
    <dxf>
      <font>
        <strike val="0"/>
        <outline val="0"/>
        <shadow val="0"/>
        <vertAlign val="baseline"/>
        <sz val="9"/>
      </font>
      <numFmt numFmtId="34" formatCode="_-&quot;$&quot;* #,##0.00_-;\-&quot;$&quot;* #,##0.00_-;_-&quot;$&quot;* &quot;-&quot;??_-;_-@_-"/>
      <fill>
        <patternFill>
          <fgColor indexed="64"/>
          <bgColor auto="1"/>
        </patternFill>
      </fill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34" formatCode="_-&quot;$&quot;* #,##0.00_-;\-&quot;$&quot;* #,##0.00_-;_-&quot;$&quot;* &quot;-&quot;??_-;_-@_-"/>
    </dxf>
    <dxf>
      <font>
        <strike val="0"/>
        <outline val="0"/>
        <shadow val="0"/>
        <vertAlign val="baseline"/>
        <sz val="9"/>
      </font>
      <numFmt numFmtId="34" formatCode="_-&quot;$&quot;* #,##0.00_-;\-&quot;$&quot;* #,##0.00_-;_-&quot;$&quot;* &quot;-&quot;??_-;_-@_-"/>
      <fill>
        <patternFill>
          <fgColor indexed="64"/>
          <bgColor auto="1"/>
        </patternFill>
      </fill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34" formatCode="_-&quot;$&quot;* #,##0.00_-;\-&quot;$&quot;* #,##0.00_-;_-&quot;$&quot;* &quot;-&quot;??_-;_-@_-"/>
    </dxf>
    <dxf>
      <font>
        <strike val="0"/>
        <outline val="0"/>
        <shadow val="0"/>
        <vertAlign val="baseline"/>
        <sz val="9"/>
      </font>
      <numFmt numFmtId="34" formatCode="_-&quot;$&quot;* #,##0.00_-;\-&quot;$&quot;* #,##0.00_-;_-&quot;$&quot;* &quot;-&quot;??_-;_-@_-"/>
      <fill>
        <patternFill>
          <fgColor indexed="64"/>
          <bgColor auto="1"/>
        </patternFill>
      </fill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34" formatCode="_-&quot;$&quot;* #,##0.00_-;\-&quot;$&quot;* #,##0.00_-;_-&quot;$&quot;* &quot;-&quot;??_-;_-@_-"/>
    </dxf>
    <dxf>
      <font>
        <strike val="0"/>
        <outline val="0"/>
        <shadow val="0"/>
        <vertAlign val="baseline"/>
        <sz val="9"/>
      </font>
      <numFmt numFmtId="34" formatCode="_-&quot;$&quot;* #,##0.00_-;\-&quot;$&quot;* #,##0.00_-;_-&quot;$&quot;* &quot;-&quot;??_-;_-@_-"/>
      <fill>
        <patternFill>
          <fgColor indexed="64"/>
          <bgColor auto="1"/>
        </patternFill>
      </fill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9"/>
      </font>
      <fill>
        <patternFill>
          <fgColor indexed="64"/>
          <bgColor auto="1"/>
        </patternFill>
      </fill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alignment horizontal="center" vertical="center" wrapText="1"/>
    </dxf>
    <dxf>
      <font>
        <strike val="0"/>
        <outline val="0"/>
        <shadow val="0"/>
        <vertAlign val="baseline"/>
        <sz val="9"/>
      </font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alignment horizontal="center" vertical="center" wrapText="1"/>
    </dxf>
    <dxf>
      <font>
        <strike val="0"/>
        <outline val="0"/>
        <shadow val="0"/>
        <vertAlign val="baseline"/>
        <sz val="9"/>
      </font>
      <fill>
        <patternFill>
          <fgColor indexed="64"/>
          <bgColor auto="1"/>
        </patternFill>
      </fill>
    </dxf>
    <dxf>
      <font>
        <strike val="0"/>
        <outline val="0"/>
        <shadow val="0"/>
        <vertAlign val="baseline"/>
        <sz val="9"/>
      </font>
    </dxf>
    <dxf>
      <font>
        <strike val="0"/>
        <outline val="0"/>
        <shadow val="0"/>
        <vertAlign val="baseline"/>
        <sz val="9"/>
        <family val="2"/>
      </font>
      <fill>
        <patternFill>
          <fgColor indexed="64"/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9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4" formatCode="_-&quot;$&quot;* #,##0.00_-;\-&quot;$&quot;* #,##0.00_-;_-&quot;$&quot;* &quot;-&quot;??_-;_-@_-"/>
      <alignment horizontal="left" vertical="center" textRotation="0" wrapText="1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fill>
        <patternFill>
          <fgColor indexed="64"/>
          <bgColor auto="1"/>
        </patternFill>
      </fill>
      <alignment horizontal="left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4" formatCode="_-&quot;$&quot;* #,##0.00_-;\-&quot;$&quot;* #,##0.00_-;_-&quot;$&quot;* &quot;-&quot;??_-;_-@_-"/>
      <alignment horizontal="left" vertical="center" textRotation="0" wrapText="1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34" formatCode="_-&quot;$&quot;* #,##0.00_-;\-&quot;$&quot;* #,##0.00_-;_-&quot;$&quot;* &quot;-&quot;??_-;_-@_-"/>
      <fill>
        <patternFill>
          <fgColor indexed="64"/>
          <bgColor indexed="65"/>
        </patternFill>
      </fill>
      <alignment horizontal="left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4" formatCode="_-&quot;$&quot;* #,##0.00_-;\-&quot;$&quot;* #,##0.00_-;_-&quot;$&quot;* &quot;-&quot;??_-;_-@_-"/>
      <alignment horizontal="left" vertical="center" textRotation="0" wrapText="1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fill>
        <patternFill>
          <fgColor indexed="64"/>
          <bgColor auto="1"/>
        </patternFill>
      </fill>
      <alignment horizontal="left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4" formatCode="_-&quot;$&quot;* #,##0.00_-;\-&quot;$&quot;* #,##0.00_-;_-&quot;$&quot;* &quot;-&quot;??_-;_-@_-"/>
      <alignment horizontal="left" vertical="center" textRotation="0" wrapText="1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fill>
        <patternFill>
          <fgColor indexed="64"/>
          <bgColor auto="1"/>
        </patternFill>
      </fill>
      <alignment horizontal="left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4" formatCode="_-&quot;$&quot;* #,##0.00_-;\-&quot;$&quot;* #,##0.00_-;_-&quot;$&quot;* &quot;-&quot;??_-;_-@_-"/>
      <alignment horizontal="left" vertical="center" textRotation="0" wrapText="1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fill>
        <patternFill>
          <fgColor indexed="64"/>
          <bgColor auto="1"/>
        </patternFill>
      </fill>
      <alignment horizontal="left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4" formatCode="_-&quot;$&quot;* #,##0.00_-;\-&quot;$&quot;* #,##0.00_-;_-&quot;$&quot;* &quot;-&quot;??_-;_-@_-"/>
      <alignment horizontal="left" vertical="center" textRotation="0" wrapText="1" indent="0" justifyLastLine="0" shrinkToFit="0" readingOrder="0"/>
      <protection locked="0" hidden="0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fill>
        <patternFill>
          <fgColor indexed="64"/>
          <bgColor auto="1"/>
        </patternFill>
      </fill>
      <alignment horizontal="left" vertical="center" wrapText="1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4" formatCode="_-&quot;$&quot;* #,##0.00_-;\-&quot;$&quot;* #,##0.00_-;_-&quot;$&quot;* &quot;-&quot;??_-;_-@_-"/>
      <alignment horizontal="left" vertical="center" textRotation="0" wrapText="1" indent="0" justifyLastLine="0" shrinkToFit="0" readingOrder="0"/>
      <protection locked="0" hidden="0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fill>
        <patternFill>
          <fgColor indexed="64"/>
          <bgColor auto="1"/>
        </patternFill>
      </fill>
      <alignment horizontal="left" vertical="center" wrapText="1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4" formatCode="_-&quot;$&quot;* #,##0.00_-;\-&quot;$&quot;* #,##0.00_-;_-&quot;$&quot;* &quot;-&quot;??_-;_-@_-"/>
      <alignment horizontal="left" vertical="center" textRotation="0" wrapText="1" indent="0" justifyLastLine="0" shrinkToFit="0" readingOrder="0"/>
      <protection locked="0" hidden="0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fill>
        <patternFill>
          <fgColor indexed="64"/>
          <bgColor auto="1"/>
        </patternFill>
      </fill>
      <alignment horizontal="left" vertical="center" wrapText="1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4" formatCode="_-&quot;$&quot;* #,##0.00_-;\-&quot;$&quot;* #,##0.00_-;_-&quot;$&quot;* &quot;-&quot;??_-;_-@_-"/>
      <alignment horizontal="left" vertical="center" textRotation="0" wrapText="1" indent="0" justifyLastLine="0" shrinkToFit="0" readingOrder="0"/>
      <protection locked="0" hidden="0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fill>
        <patternFill>
          <fgColor indexed="64"/>
          <bgColor auto="1"/>
        </patternFill>
      </fill>
      <alignment horizontal="left" vertical="center" wrapText="1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0" formatCode="General"/>
      <fill>
        <patternFill>
          <fgColor indexed="64"/>
          <bgColor auto="1"/>
        </patternFill>
      </fill>
      <alignment horizontal="left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9"/>
      </font>
      <numFmt numFmtId="2" formatCode="0.00"/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2" formatCode="0.00"/>
      <fill>
        <patternFill>
          <fgColor indexed="64"/>
          <bgColor indexed="65"/>
        </patternFill>
      </fill>
      <alignment horizontal="center" vertical="center" wrapText="1"/>
    </dxf>
    <dxf>
      <font>
        <strike val="0"/>
        <outline val="0"/>
        <shadow val="0"/>
        <vertAlign val="baseline"/>
        <sz val="9"/>
      </font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fill>
        <patternFill>
          <fgColor indexed="64"/>
          <bgColor auto="1"/>
        </patternFill>
      </fill>
      <alignment horizontal="left" vertical="center" wrapText="1"/>
    </dxf>
    <dxf>
      <font>
        <b/>
        <strike val="0"/>
        <condense val="0"/>
        <extend val="0"/>
        <outline val="0"/>
        <shadow val="0"/>
        <vertAlign val="baseline"/>
        <sz val="9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4" formatCode="_-&quot;$&quot;* #,##0.00_-;\-&quot;$&quot;* #,##0.00_-;_-&quot;$&quot;* &quot;-&quot;??_-;_-@_-"/>
      <alignment horizontal="left" vertical="center" textRotation="0" wrapText="1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34" formatCode="_-&quot;$&quot;* #,##0.00_-;\-&quot;$&quot;* #,##0.00_-;_-&quot;$&quot;* &quot;-&quot;??_-;_-@_-"/>
      <fill>
        <patternFill>
          <fgColor indexed="64"/>
          <bgColor auto="1"/>
        </patternFill>
      </fill>
      <alignment horizontal="left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4" formatCode="_-&quot;$&quot;* #,##0.00_-;\-&quot;$&quot;* #,##0.00_-;_-&quot;$&quot;* &quot;-&quot;??_-;_-@_-"/>
      <alignment horizontal="left" vertical="center" textRotation="0" wrapText="1" indent="0" justifyLastLine="0" shrinkToFit="0" readingOrder="0"/>
      <protection locked="0" hidden="0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34" formatCode="_-&quot;$&quot;* #,##0.00_-;\-&quot;$&quot;* #,##0.00_-;_-&quot;$&quot;* &quot;-&quot;??_-;_-@_-"/>
      <fill>
        <patternFill>
          <fgColor indexed="64"/>
          <bgColor indexed="65"/>
        </patternFill>
      </fill>
      <alignment horizontal="left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4" formatCode="_-&quot;$&quot;* #,##0.00_-;\-&quot;$&quot;* #,##0.00_-;_-&quot;$&quot;* &quot;-&quot;??_-;_-@_-"/>
      <alignment horizontal="left" vertical="center" textRotation="0" wrapText="1" indent="0" justifyLastLine="0" shrinkToFit="0" readingOrder="0"/>
      <protection locked="0" hidden="0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34" formatCode="_-&quot;$&quot;* #,##0.00_-;\-&quot;$&quot;* #,##0.00_-;_-&quot;$&quot;* &quot;-&quot;??_-;_-@_-"/>
      <fill>
        <patternFill>
          <fgColor indexed="64"/>
          <bgColor auto="1"/>
        </patternFill>
      </fill>
      <alignment horizontal="left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4" formatCode="_-&quot;$&quot;* #,##0.00_-;\-&quot;$&quot;* #,##0.00_-;_-&quot;$&quot;* &quot;-&quot;??_-;_-@_-"/>
      <alignment horizontal="left" vertical="center" textRotation="0" wrapText="1" indent="0" justifyLastLine="0" shrinkToFit="0" readingOrder="0"/>
      <protection locked="0" hidden="0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34" formatCode="_-&quot;$&quot;* #,##0.00_-;\-&quot;$&quot;* #,##0.00_-;_-&quot;$&quot;* &quot;-&quot;??_-;_-@_-"/>
      <fill>
        <patternFill>
          <fgColor indexed="64"/>
          <bgColor auto="1"/>
        </patternFill>
      </fill>
      <alignment horizontal="left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4" formatCode="_-&quot;$&quot;* #,##0.00_-;\-&quot;$&quot;* #,##0.00_-;_-&quot;$&quot;* &quot;-&quot;??_-;_-@_-"/>
      <alignment horizontal="left" vertical="center" textRotation="0" wrapText="1" indent="0" justifyLastLine="0" shrinkToFit="0" readingOrder="0"/>
      <protection locked="0" hidden="0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34" formatCode="_-&quot;$&quot;* #,##0.00_-;\-&quot;$&quot;* #,##0.00_-;_-&quot;$&quot;* &quot;-&quot;??_-;_-@_-"/>
      <fill>
        <patternFill>
          <fgColor indexed="64"/>
          <bgColor auto="1"/>
        </patternFill>
      </fill>
      <alignment horizontal="left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4" formatCode="_-&quot;$&quot;* #,##0.00_-;\-&quot;$&quot;* #,##0.00_-;_-&quot;$&quot;* &quot;-&quot;??_-;_-@_-"/>
      <alignment horizontal="left" vertical="center" textRotation="0" wrapText="1" indent="0" justifyLastLine="0" shrinkToFit="0" readingOrder="0"/>
      <protection locked="0" hidden="0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34" formatCode="_-&quot;$&quot;* #,##0.00_-;\-&quot;$&quot;* #,##0.00_-;_-&quot;$&quot;* &quot;-&quot;??_-;_-@_-"/>
      <fill>
        <patternFill>
          <fgColor indexed="64"/>
          <bgColor auto="1"/>
        </patternFill>
      </fill>
      <alignment horizontal="left" vertical="center" wrapText="1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4" formatCode="_-&quot;$&quot;* #,##0.00_-;\-&quot;$&quot;* #,##0.00_-;_-&quot;$&quot;* &quot;-&quot;??_-;_-@_-"/>
      <alignment horizontal="left" vertical="center" textRotation="0" wrapText="1" indent="0" justifyLastLine="0" shrinkToFit="0" readingOrder="0"/>
      <protection locked="0" hidden="0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34" formatCode="_-&quot;$&quot;* #,##0.00_-;\-&quot;$&quot;* #,##0.00_-;_-&quot;$&quot;* &quot;-&quot;??_-;_-@_-"/>
      <fill>
        <patternFill>
          <fgColor indexed="64"/>
          <bgColor auto="1"/>
        </patternFill>
      </fill>
      <alignment horizontal="left" vertical="center" wrapText="1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4" formatCode="_-&quot;$&quot;* #,##0.00_-;\-&quot;$&quot;* #,##0.00_-;_-&quot;$&quot;* &quot;-&quot;??_-;_-@_-"/>
      <alignment horizontal="left" vertical="center" textRotation="0" wrapText="1" indent="0" justifyLastLine="0" shrinkToFit="0" readingOrder="0"/>
      <protection locked="0" hidden="0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fill>
        <patternFill>
          <fgColor indexed="64"/>
          <bgColor auto="1"/>
        </patternFill>
      </fill>
      <alignment horizontal="left" vertical="center" wrapText="1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4" formatCode="_-&quot;$&quot;* #,##0.00_-;\-&quot;$&quot;* #,##0.00_-;_-&quot;$&quot;* &quot;-&quot;??_-;_-@_-"/>
      <alignment horizontal="left" vertical="center" textRotation="0" wrapText="1" indent="0" justifyLastLine="0" shrinkToFit="0" readingOrder="0"/>
      <protection locked="0" hidden="0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fill>
        <patternFill>
          <fgColor indexed="64"/>
          <bgColor auto="1"/>
        </patternFill>
      </fill>
      <alignment horizontal="left" vertical="center" wrapText="1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fill>
        <patternFill>
          <fgColor indexed="64"/>
          <bgColor auto="1"/>
        </patternFill>
      </fill>
      <alignment horizontal="left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9"/>
      </font>
      <numFmt numFmtId="2" formatCode="0.00"/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2" formatCode="0.00"/>
      <fill>
        <patternFill>
          <fgColor indexed="64"/>
          <bgColor indexed="65"/>
        </patternFill>
      </fill>
      <alignment horizontal="center" vertical="center" wrapText="1"/>
    </dxf>
    <dxf>
      <font>
        <strike val="0"/>
        <outline val="0"/>
        <shadow val="0"/>
        <vertAlign val="baseline"/>
        <sz val="9"/>
      </font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fill>
        <patternFill>
          <fgColor indexed="64"/>
          <bgColor auto="1"/>
        </patternFill>
      </fill>
      <alignment horizontal="left" vertical="center" wrapText="1"/>
    </dxf>
    <dxf>
      <font>
        <b/>
        <strike val="0"/>
        <condense val="0"/>
        <extend val="0"/>
        <outline val="0"/>
        <shadow val="0"/>
        <vertAlign val="baseline"/>
        <sz val="9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4" formatCode="_-&quot;$&quot;* #,##0.00_-;\-&quot;$&quot;* #,##0.00_-;_-&quot;$&quot;* &quot;-&quot;??_-;_-@_-"/>
      <alignment horizontal="left" vertical="center" textRotation="0" wrapText="1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>
          <fgColor indexed="64"/>
          <bgColor auto="1"/>
        </patternFill>
      </fill>
      <alignment horizontal="left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4" formatCode="_-&quot;$&quot;* #,##0.00_-;\-&quot;$&quot;* #,##0.00_-;_-&quot;$&quot;* &quot;-&quot;??_-;_-@_-"/>
      <alignment horizontal="left" vertical="center" textRotation="0" wrapText="1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4" formatCode="_-&quot;$&quot;* #,##0.00_-;\-&quot;$&quot;* #,##0.00_-;_-&quot;$&quot;* &quot;-&quot;??_-;_-@_-"/>
      <fill>
        <patternFill>
          <fgColor indexed="64"/>
          <bgColor indexed="65"/>
        </patternFill>
      </fill>
      <alignment horizontal="left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4" formatCode="_-&quot;$&quot;* #,##0.00_-;\-&quot;$&quot;* #,##0.00_-;_-&quot;$&quot;* &quot;-&quot;??_-;_-@_-"/>
      <alignment horizontal="left" vertical="center" textRotation="0" wrapText="1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4" formatCode="_-&quot;$&quot;* #,##0.00_-;\-&quot;$&quot;* #,##0.00_-;_-&quot;$&quot;* &quot;-&quot;??_-;_-@_-"/>
      <fill>
        <patternFill>
          <fgColor indexed="64"/>
          <bgColor auto="1"/>
        </patternFill>
      </fill>
      <alignment horizontal="left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4" formatCode="_-&quot;$&quot;* #,##0.00_-;\-&quot;$&quot;* #,##0.00_-;_-&quot;$&quot;* &quot;-&quot;??_-;_-@_-"/>
      <alignment horizontal="left" vertical="center" textRotation="0" wrapText="1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>
          <fgColor indexed="64"/>
          <bgColor auto="1"/>
        </patternFill>
      </fill>
      <alignment horizontal="left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4" formatCode="_-&quot;$&quot;* #,##0.00_-;\-&quot;$&quot;* #,##0.00_-;_-&quot;$&quot;* &quot;-&quot;??_-;_-@_-"/>
      <alignment horizontal="left" vertical="center" textRotation="0" wrapText="1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>
          <fgColor indexed="64"/>
          <bgColor auto="1"/>
        </patternFill>
      </fill>
      <alignment horizontal="left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4" formatCode="_-&quot;$&quot;* #,##0.00_-;\-&quot;$&quot;* #,##0.00_-;_-&quot;$&quot;* &quot;-&quot;??_-;_-@_-"/>
      <alignment horizontal="left" vertical="center" textRotation="0" wrapText="1" indent="0" justifyLastLine="0" shrinkToFit="0" readingOrder="0"/>
      <protection locked="0" hidden="0"/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>
          <fgColor indexed="64"/>
          <bgColor auto="1"/>
        </patternFill>
      </fill>
      <alignment horizontal="left" vertical="center" wrapText="1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4" formatCode="_-&quot;$&quot;* #,##0.00_-;\-&quot;$&quot;* #,##0.00_-;_-&quot;$&quot;* &quot;-&quot;??_-;_-@_-"/>
      <alignment horizontal="left" vertical="center" textRotation="0" wrapText="1" indent="0" justifyLastLine="0" shrinkToFit="0" readingOrder="0"/>
      <protection locked="0" hidden="0"/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>
          <fgColor indexed="64"/>
          <bgColor auto="1"/>
        </patternFill>
      </fill>
      <alignment horizontal="left" vertical="center" wrapText="1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4" formatCode="_-&quot;$&quot;* #,##0.00_-;\-&quot;$&quot;* #,##0.00_-;_-&quot;$&quot;* &quot;-&quot;??_-;_-@_-"/>
      <alignment horizontal="left" vertical="center" textRotation="0" wrapText="1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>
          <fgColor indexed="64"/>
          <bgColor auto="1"/>
        </patternFill>
      </fill>
      <alignment horizontal="left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4" formatCode="_-&quot;$&quot;* #,##0.00_-;\-&quot;$&quot;* #,##0.00_-;_-&quot;$&quot;* &quot;-&quot;??_-;_-@_-"/>
      <alignment horizontal="left" vertical="center" textRotation="0" wrapText="1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>
          <fgColor indexed="64"/>
          <bgColor auto="1"/>
        </patternFill>
      </fill>
      <alignment horizontal="left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fill>
        <patternFill>
          <fgColor indexed="64"/>
          <bgColor auto="1"/>
        </patternFill>
      </fill>
      <alignment horizontal="left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9"/>
      </font>
      <numFmt numFmtId="2" formatCode="0.00"/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2" formatCode="0.00"/>
      <fill>
        <patternFill>
          <fgColor indexed="64"/>
          <bgColor auto="1"/>
        </patternFill>
      </fill>
      <alignment horizontal="center" vertical="center" wrapText="1"/>
    </dxf>
    <dxf>
      <font>
        <strike val="0"/>
        <outline val="0"/>
        <shadow val="0"/>
        <vertAlign val="baseline"/>
        <sz val="9"/>
      </font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fill>
        <patternFill>
          <fgColor indexed="64"/>
          <bgColor auto="1"/>
        </patternFill>
      </fill>
      <alignment horizontal="left" vertical="center" wrapText="1"/>
    </dxf>
    <dxf>
      <font>
        <b/>
        <strike val="0"/>
        <condense val="0"/>
        <extend val="0"/>
        <outline val="0"/>
        <shadow val="0"/>
        <vertAlign val="baseline"/>
        <sz val="9"/>
        <color theme="0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wrapText="1"/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4" displayName="Table4" ref="A6:L11" totalsRowCount="1" headerRowDxfId="170" dataDxfId="169" totalsRowDxfId="168" dataCellStyle="Currency">
  <autoFilter ref="A6:L10" xr:uid="{00000000-0009-0000-0100-000001000000}"/>
  <tableColumns count="12">
    <tableColumn id="1" xr3:uid="{00000000-0010-0000-0000-000001000000}" name="Cost Code" totalsRowLabel="Sub-Total" dataDxfId="167" totalsRowDxfId="166"/>
    <tableColumn id="14" xr3:uid="{00000000-0010-0000-0000-00000E000000}" name="Company" dataDxfId="165" totalsRowDxfId="164"/>
    <tableColumn id="2" xr3:uid="{00000000-0010-0000-0000-000002000000}" name="Description/Role" dataDxfId="163" totalsRowDxfId="162"/>
    <tableColumn id="3" xr3:uid="{00000000-0010-0000-0000-000003000000}" name="Budget" totalsRowFunction="sum" dataDxfId="161" totalsRowDxfId="160" dataCellStyle="Currency"/>
    <tableColumn id="4" xr3:uid="{00000000-0010-0000-0000-000004000000}" name="Approved Contract" totalsRowFunction="sum" dataDxfId="159" totalsRowDxfId="158" dataCellStyle="Currency"/>
    <tableColumn id="5" xr3:uid="{00000000-0010-0000-0000-000005000000}" name="Forecast" totalsRowFunction="sum" dataDxfId="157" totalsRowDxfId="156" dataCellStyle="Currency"/>
    <tableColumn id="6" xr3:uid="{00000000-0010-0000-0000-000006000000}" name="Approved" totalsRowFunction="sum" dataDxfId="155" totalsRowDxfId="154" dataCellStyle="Currency"/>
    <tableColumn id="8" xr3:uid="{00000000-0010-0000-0000-000008000000}" name="Forecast Final Cost" totalsRowFunction="sum" dataDxfId="153" totalsRowDxfId="152" dataCellStyle="Currency"/>
    <tableColumn id="9" xr3:uid="{00000000-0010-0000-0000-000009000000}" name="BUDGET VARIANCE" totalsRowFunction="sum" dataDxfId="151" totalsRowDxfId="150" dataCellStyle="Currency"/>
    <tableColumn id="10" xr3:uid="{00000000-0010-0000-0000-00000A000000}" name="Claimed to Date" totalsRowFunction="sum" dataDxfId="149" totalsRowDxfId="148" dataCellStyle="Currency">
      <calculatedColumnFormula>SUMIF(Invoices!$F$7:$F$15,'Project Summary'!C7,Invoices!$G$7:$G$14)</calculatedColumnFormula>
    </tableColumn>
    <tableColumn id="13" xr3:uid="{00000000-0010-0000-0000-00000D000000}" name="Claimed this Month" dataDxfId="147" totalsRowDxfId="146" dataCellStyle="Currency">
      <calculatedColumnFormula>SUMIFS(Invoices!$G$7:$G$8, Invoices!$F$7:$F$8, C7, Invoices!$H$7:$H$8, Invoices!#REF!)</calculatedColumnFormula>
    </tableColumn>
    <tableColumn id="11" xr3:uid="{00000000-0010-0000-0000-00000B000000}" name="Remaining to be invoiced" totalsRowFunction="sum" dataDxfId="145" totalsRowDxfId="144" dataCellStyle="Currency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6" displayName="Table6" ref="A13:L20" totalsRowCount="1" headerRowDxfId="143" dataDxfId="142" totalsRowDxfId="141" dataCellStyle="Currency">
  <autoFilter ref="A13:L19" xr:uid="{00000000-0009-0000-0100-000002000000}"/>
  <tableColumns count="12">
    <tableColumn id="1" xr3:uid="{00000000-0010-0000-0100-000001000000}" name="Cost Code" totalsRowLabel="Sub-Total" dataDxfId="140" totalsRowDxfId="139"/>
    <tableColumn id="12" xr3:uid="{00000000-0010-0000-0100-00000C000000}" name="Company" dataDxfId="138" totalsRowDxfId="137"/>
    <tableColumn id="2" xr3:uid="{00000000-0010-0000-0100-000002000000}" name="Description/Role" dataDxfId="136" totalsRowDxfId="135"/>
    <tableColumn id="3" xr3:uid="{00000000-0010-0000-0100-000003000000}" name="Budget" totalsRowFunction="sum" dataDxfId="134" totalsRowDxfId="133" dataCellStyle="Currency"/>
    <tableColumn id="4" xr3:uid="{00000000-0010-0000-0100-000004000000}" name="Approved Contract" totalsRowFunction="sum" dataDxfId="132" totalsRowDxfId="131" dataCellStyle="Currency"/>
    <tableColumn id="5" xr3:uid="{00000000-0010-0000-0100-000005000000}" name="Forecast" totalsRowFunction="sum" dataDxfId="130" totalsRowDxfId="129" dataCellStyle="Currency">
      <calculatedColumnFormula>SUMIF(Invoices!$F$7:$F$15,'Project Summary'!#REF!,Invoices!$G$7:$G$14)</calculatedColumnFormula>
    </tableColumn>
    <tableColumn id="6" xr3:uid="{00000000-0010-0000-0100-000006000000}" name="Approved" totalsRowFunction="sum" dataDxfId="128" totalsRowDxfId="127" dataCellStyle="Currency">
      <calculatedColumnFormula>SUMIFS(Variations!$E$7:$E$17,Variations!$C$7:$C$17,C14,Variations!$D$7:$D$17,$G$6)</calculatedColumnFormula>
    </tableColumn>
    <tableColumn id="8" xr3:uid="{00000000-0010-0000-0100-000008000000}" name="Forecast Final Cost" totalsRowFunction="sum" dataDxfId="126" totalsRowDxfId="125" dataCellStyle="Currency">
      <calculatedColumnFormula>SUM(E14:G14)</calculatedColumnFormula>
    </tableColumn>
    <tableColumn id="9" xr3:uid="{00000000-0010-0000-0100-000009000000}" name="BUDGET VARIANCE" totalsRowFunction="sum" dataDxfId="124" totalsRowDxfId="123" dataCellStyle="Currency">
      <calculatedColumnFormula>H14-D14</calculatedColumnFormula>
    </tableColumn>
    <tableColumn id="10" xr3:uid="{00000000-0010-0000-0100-00000A000000}" name="Claimed to Date" totalsRowFunction="sum" dataDxfId="122" totalsRowDxfId="121" dataCellStyle="Currency">
      <calculatedColumnFormula>SUMIF(Invoices!$F$7:$F$15,'Project Summary'!C14,Invoices!$G$7:$G$14)</calculatedColumnFormula>
    </tableColumn>
    <tableColumn id="14" xr3:uid="{00000000-0010-0000-0100-00000E000000}" name="Claimed this Month" totalsRowFunction="custom" dataDxfId="120" totalsRowDxfId="119" dataCellStyle="Currency">
      <calculatedColumnFormula>SUMIFS(Invoices!$G$7:$G$8, Invoices!$F$7:$F$8, C14, Invoices!$H$7:$H$8, Invoices!#REF!)</calculatedColumnFormula>
      <totalsRowFormula>SUM(K15:K19)</totalsRowFormula>
    </tableColumn>
    <tableColumn id="11" xr3:uid="{00000000-0010-0000-0100-00000B000000}" name="Remaining to be invoiced" totalsRowFunction="sum" dataDxfId="118" totalsRowDxfId="117" dataCellStyle="Currency">
      <calculatedColumnFormula>H14-J14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C_Table" displayName="PC_Table" ref="A22:L28" totalsRowCount="1" headerRowDxfId="116" dataDxfId="115" totalsRowDxfId="114" dataCellStyle="Currency">
  <autoFilter ref="A22:L27" xr:uid="{00000000-0009-0000-0100-000003000000}"/>
  <tableColumns count="12">
    <tableColumn id="1" xr3:uid="{00000000-0010-0000-0200-000001000000}" name="Cost Code" totalsRowLabel="Sub-Total" dataDxfId="113" totalsRowDxfId="112"/>
    <tableColumn id="12" xr3:uid="{00000000-0010-0000-0200-00000C000000}" name="Company" dataDxfId="111" totalsRowDxfId="110">
      <calculatedColumnFormula>#REF!</calculatedColumnFormula>
    </tableColumn>
    <tableColumn id="2" xr3:uid="{00000000-0010-0000-0200-000002000000}" name="Description/Role" dataDxfId="109" totalsRowDxfId="108">
      <calculatedColumnFormula>#REF!</calculatedColumnFormula>
    </tableColumn>
    <tableColumn id="3" xr3:uid="{00000000-0010-0000-0200-000003000000}" name="Budget" totalsRowFunction="sum" dataDxfId="107" totalsRowDxfId="106" dataCellStyle="Currency"/>
    <tableColumn id="4" xr3:uid="{00000000-0010-0000-0200-000004000000}" name="Approved Contract" totalsRowFunction="sum" dataDxfId="105" totalsRowDxfId="104" dataCellStyle="Currency"/>
    <tableColumn id="5" xr3:uid="{00000000-0010-0000-0200-000005000000}" name="Forecast" totalsRowFunction="sum" dataDxfId="103" totalsRowDxfId="102" dataCellStyle="Currency"/>
    <tableColumn id="6" xr3:uid="{00000000-0010-0000-0200-000006000000}" name="Approved" totalsRowFunction="sum" dataDxfId="101" totalsRowDxfId="100" dataCellStyle="Currency"/>
    <tableColumn id="8" xr3:uid="{00000000-0010-0000-0200-000008000000}" name="Forecast Final Cost" totalsRowFunction="sum" dataDxfId="99" totalsRowDxfId="98" dataCellStyle="Currency"/>
    <tableColumn id="9" xr3:uid="{00000000-0010-0000-0200-000009000000}" name="BUDGET VARIANCE" totalsRowFunction="sum" dataDxfId="97" totalsRowDxfId="96" dataCellStyle="Currency"/>
    <tableColumn id="10" xr3:uid="{00000000-0010-0000-0200-00000A000000}" name="Claimed to Date" totalsRowFunction="sum" dataDxfId="95" totalsRowDxfId="94" dataCellStyle="Currency"/>
    <tableColumn id="13" xr3:uid="{00000000-0010-0000-0200-00000D000000}" name="Claimed this Month" totalsRowFunction="custom" dataDxfId="93" totalsRowDxfId="92" dataCellStyle="Currency">
      <calculatedColumnFormula>SUMIFS(Invoices!$G$7:$G$8, Invoices!$F$7:$F$8,#REF!, Invoices!$H$7:$H$8, Invoices!#REF!)</calculatedColumnFormula>
      <totalsRowFormula>SUM(K24:K27)</totalsRowFormula>
    </tableColumn>
    <tableColumn id="11" xr3:uid="{00000000-0010-0000-0200-00000B000000}" name="Remaining to be invoiced" totalsRowFunction="sum" dataDxfId="91" totalsRowDxfId="90" dataCellStyle="Currency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8" displayName="Table8" ref="A29:L32" totalsRowCount="1" headerRowDxfId="89" dataDxfId="88" totalsRowDxfId="87">
  <autoFilter ref="A29:L31" xr:uid="{00000000-0009-0000-0100-000004000000}"/>
  <tableColumns count="12">
    <tableColumn id="1" xr3:uid="{00000000-0010-0000-0300-000001000000}" name="Cost Code" totalsRowLabel="Sub-Total" dataDxfId="86" totalsRowDxfId="85"/>
    <tableColumn id="12" xr3:uid="{00000000-0010-0000-0300-00000C000000}" name="Company" dataDxfId="84" totalsRowDxfId="83"/>
    <tableColumn id="2" xr3:uid="{00000000-0010-0000-0300-000002000000}" name="Description/Role" dataDxfId="82" totalsRowDxfId="81"/>
    <tableColumn id="3" xr3:uid="{00000000-0010-0000-0300-000003000000}" name="Budget" totalsRowFunction="custom" dataDxfId="80" totalsRowDxfId="79">
      <calculatedColumnFormula>0.1*SUM(D24:D26)</calculatedColumnFormula>
      <totalsRowFormula>SUM(D31)</totalsRowFormula>
    </tableColumn>
    <tableColumn id="4" xr3:uid="{00000000-0010-0000-0300-000004000000}" name="Approved Contract" totalsRowFunction="custom" dataDxfId="78" totalsRowDxfId="77">
      <calculatedColumnFormula>Table8[[#This Row],[Budget]]</calculatedColumnFormula>
      <totalsRowFormula>E31</totalsRowFormula>
    </tableColumn>
    <tableColumn id="5" xr3:uid="{00000000-0010-0000-0300-000005000000}" name="Forecast" totalsRowFunction="sum" dataDxfId="76" totalsRowDxfId="75">
      <calculatedColumnFormula>SUMIFS(Variations!$E$7:$E$17,Variations!$C$7:$C$17,C30,Variations!$D$7:$D$17,$F$6)</calculatedColumnFormula>
    </tableColumn>
    <tableColumn id="6" xr3:uid="{00000000-0010-0000-0300-000006000000}" name="Approved" totalsRowFunction="sum" dataDxfId="74" totalsRowDxfId="73">
      <calculatedColumnFormula>SUMIFS(Variations!$E$7:$E$17,Variations!$C$7:$C$17,C30,Variations!$D$7:$D$17,$G$6)</calculatedColumnFormula>
    </tableColumn>
    <tableColumn id="8" xr3:uid="{00000000-0010-0000-0300-000008000000}" name="Forecast Final Cost" totalsRowFunction="sum" dataDxfId="72" totalsRowDxfId="71"/>
    <tableColumn id="9" xr3:uid="{00000000-0010-0000-0300-000009000000}" name="BUDGET VARIANCE" dataDxfId="70" totalsRowDxfId="69"/>
    <tableColumn id="10" xr3:uid="{00000000-0010-0000-0300-00000A000000}" name="Claimed to Date" totalsRowFunction="sum" dataDxfId="68" totalsRowDxfId="67"/>
    <tableColumn id="13" xr3:uid="{00000000-0010-0000-0300-00000D000000}" name="Claimed this Month" dataDxfId="66" totalsRowDxfId="65">
      <calculatedColumnFormula>SUMIFS(Invoices!$G$7:$G$8, Invoices!$F$7:$F$8, C30, Invoices!$H$7:$H$8, Invoices!#REF!)</calculatedColumnFormula>
    </tableColumn>
    <tableColumn id="11" xr3:uid="{00000000-0010-0000-0300-00000B000000}" name="Remaining to be invoiced" totalsRowFunction="sum" dataDxfId="64" totalsRowDxfId="63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3" displayName="Table3" ref="B6:J15" totalsRowShown="0" headerRowDxfId="62" dataDxfId="61" totalsRowDxfId="60">
  <tableColumns count="9">
    <tableColumn id="1" xr3:uid="{00000000-0010-0000-0400-000001000000}" name="Date" dataDxfId="59"/>
    <tableColumn id="3" xr3:uid="{00000000-0010-0000-0400-000003000000}" name="Company" dataDxfId="58" totalsRowDxfId="57"/>
    <tableColumn id="8" xr3:uid="{00000000-0010-0000-0400-000008000000}" name="PO Number" dataDxfId="56" totalsRowDxfId="55"/>
    <tableColumn id="4" xr3:uid="{00000000-0010-0000-0400-000004000000}" name="Invoice Number" dataDxfId="54" totalsRowDxfId="53"/>
    <tableColumn id="7" xr3:uid="{00000000-0010-0000-0400-000007000000}" name="Description/Role" dataDxfId="52" totalsRowDxfId="51">
      <calculatedColumnFormula>'Project Summary'!C23</calculatedColumnFormula>
    </tableColumn>
    <tableColumn id="5" xr3:uid="{00000000-0010-0000-0400-000005000000}" name="Amount" dataDxfId="50" totalsRowDxfId="49" dataCellStyle="Currency"/>
    <tableColumn id="9" xr3:uid="{00000000-0010-0000-0400-000009000000}" name="Current Month" dataDxfId="48" totalsRowDxfId="47" dataCellStyle="Currency"/>
    <tableColumn id="6" xr3:uid="{00000000-0010-0000-0400-000006000000}" name="Paid?" dataDxfId="46" totalsRowDxfId="45" dataCellStyle="Currency"/>
    <tableColumn id="10" xr3:uid="{00000000-0010-0000-0400-00000A000000}" name="Column1" dataDxfId="44" totalsRowDxfId="43" dataCellStyle="Currency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1" displayName="Table1" ref="A6:F18" totalsRowCount="1" headerRowDxfId="42" dataDxfId="41" dataCellStyle="Currency">
  <autoFilter ref="A6:F17" xr:uid="{00000000-0009-0000-0100-000006000000}"/>
  <tableColumns count="6">
    <tableColumn id="1" xr3:uid="{00000000-0010-0000-0500-000001000000}" name="Date Submitted" totalsRowLabel="Total" dataDxfId="40" totalsRowDxfId="39"/>
    <tableColumn id="3" xr3:uid="{00000000-0010-0000-0500-000003000000}" name="Description" dataDxfId="38" totalsRowDxfId="37"/>
    <tableColumn id="8" xr3:uid="{00000000-0010-0000-0500-000008000000}" name="Variation To" dataDxfId="36" totalsRowDxfId="35"/>
    <tableColumn id="5" xr3:uid="{00000000-0010-0000-0500-000005000000}" name="Status" dataDxfId="34" totalsRowDxfId="33"/>
    <tableColumn id="6" xr3:uid="{00000000-0010-0000-0500-000006000000}" name="Amount Approved" totalsRowFunction="sum" dataDxfId="32" totalsRowDxfId="31" dataCellStyle="Currency"/>
    <tableColumn id="7" xr3:uid="{00000000-0010-0000-0500-000007000000}" name="Date Approved" dataDxfId="30" totalsRowDxfId="29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ERVM Spreadsheet">
      <a:dk1>
        <a:sysClr val="windowText" lastClr="000000"/>
      </a:dk1>
      <a:lt1>
        <a:sysClr val="window" lastClr="FFFFFF"/>
      </a:lt1>
      <a:dk2>
        <a:srgbClr val="121316"/>
      </a:dk2>
      <a:lt2>
        <a:srgbClr val="FEFCF7"/>
      </a:lt2>
      <a:accent1>
        <a:srgbClr val="606372"/>
      </a:accent1>
      <a:accent2>
        <a:srgbClr val="79A8A4"/>
      </a:accent2>
      <a:accent3>
        <a:srgbClr val="B2AD8F"/>
      </a:accent3>
      <a:accent4>
        <a:srgbClr val="AD8082"/>
      </a:accent4>
      <a:accent5>
        <a:srgbClr val="DEC18C"/>
      </a:accent5>
      <a:accent6>
        <a:srgbClr val="92A185"/>
      </a:accent6>
      <a:hlink>
        <a:srgbClr val="85C4D2"/>
      </a:hlink>
      <a:folHlink>
        <a:srgbClr val="8E8CA7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66"/>
  <sheetViews>
    <sheetView showGridLines="0" tabSelected="1" zoomScale="115" zoomScaleNormal="115" zoomScaleSheetLayoutView="100" zoomScalePageLayoutView="70" workbookViewId="0">
      <pane ySplit="5" topLeftCell="A6" activePane="bottomLeft" state="frozen"/>
      <selection activeCell="B12" sqref="B12:G12"/>
      <selection pane="bottomLeft" activeCell="A2" sqref="A2"/>
    </sheetView>
  </sheetViews>
  <sheetFormatPr defaultColWidth="9.140625" defaultRowHeight="12" x14ac:dyDescent="0.25"/>
  <cols>
    <col min="1" max="1" width="17.42578125" style="9" customWidth="1"/>
    <col min="2" max="2" width="16" style="2" customWidth="1"/>
    <col min="3" max="3" width="50.42578125" style="2" customWidth="1"/>
    <col min="4" max="4" width="15.28515625" style="2" customWidth="1"/>
    <col min="5" max="5" width="12.42578125" style="2" customWidth="1"/>
    <col min="6" max="6" width="13.42578125" style="2" customWidth="1"/>
    <col min="7" max="12" width="12.42578125" style="2" customWidth="1"/>
    <col min="13" max="14" width="13.85546875" style="2" bestFit="1" customWidth="1"/>
    <col min="15" max="16" width="9.140625" style="2" customWidth="1"/>
    <col min="17" max="16384" width="9.140625" style="2"/>
  </cols>
  <sheetData>
    <row r="1" spans="1:12" ht="15.75" customHeight="1" x14ac:dyDescent="0.25">
      <c r="A1" s="73" t="s">
        <v>0</v>
      </c>
      <c r="B1" s="72"/>
      <c r="C1" s="72"/>
      <c r="D1" s="72"/>
    </row>
    <row r="2" spans="1:12" ht="15.75" customHeight="1" x14ac:dyDescent="0.25">
      <c r="A2" s="34" t="s">
        <v>44</v>
      </c>
      <c r="B2" s="35"/>
      <c r="C2" s="36"/>
      <c r="D2" s="36"/>
      <c r="E2" s="14"/>
    </row>
    <row r="3" spans="1:12" ht="15.75" customHeight="1" x14ac:dyDescent="0.25">
      <c r="A3" s="34"/>
      <c r="B3" s="37"/>
      <c r="C3" s="36"/>
      <c r="D3" s="36"/>
    </row>
    <row r="4" spans="1:12" x14ac:dyDescent="0.25">
      <c r="A4" s="71" t="s">
        <v>1</v>
      </c>
      <c r="B4" s="72"/>
      <c r="C4" s="4"/>
      <c r="L4" s="52" t="s">
        <v>42</v>
      </c>
    </row>
    <row r="5" spans="1:12" x14ac:dyDescent="0.25">
      <c r="A5" s="16"/>
      <c r="B5" s="17"/>
      <c r="C5" s="17"/>
      <c r="F5" s="74" t="s">
        <v>2</v>
      </c>
      <c r="G5" s="72"/>
      <c r="H5" s="72"/>
      <c r="I5" s="17"/>
      <c r="J5" s="17"/>
      <c r="K5" s="17"/>
    </row>
    <row r="6" spans="1:12" ht="24" customHeight="1" x14ac:dyDescent="0.25">
      <c r="A6" s="38" t="s">
        <v>3</v>
      </c>
      <c r="B6" s="38" t="s">
        <v>4</v>
      </c>
      <c r="C6" s="39" t="s">
        <v>5</v>
      </c>
      <c r="D6" s="39" t="s">
        <v>6</v>
      </c>
      <c r="E6" s="39" t="s">
        <v>7</v>
      </c>
      <c r="F6" s="39" t="s">
        <v>8</v>
      </c>
      <c r="G6" s="39" t="s">
        <v>9</v>
      </c>
      <c r="H6" s="39" t="s">
        <v>10</v>
      </c>
      <c r="I6" s="39" t="s">
        <v>11</v>
      </c>
      <c r="J6" s="39" t="s">
        <v>12</v>
      </c>
      <c r="K6" s="39" t="s">
        <v>13</v>
      </c>
      <c r="L6" s="39" t="s">
        <v>14</v>
      </c>
    </row>
    <row r="7" spans="1:12" x14ac:dyDescent="0.25">
      <c r="A7" s="40" t="s">
        <v>15</v>
      </c>
      <c r="B7" s="18"/>
      <c r="C7" s="19"/>
      <c r="J7" s="5">
        <f ca="1">SUMIF(Invoices!$F$7:$F$15,'Project Summary'!C7,Invoices!$G$7:$G$14)</f>
        <v>0</v>
      </c>
      <c r="K7" s="5">
        <f>SUMIFS(Invoices!$G$7:$G$8, Invoices!$F$7:$F$8, C7, Invoices!$H$7:$H$8, Invoices!#REF!)</f>
        <v>0</v>
      </c>
    </row>
    <row r="8" spans="1:12" ht="15.75" customHeight="1" x14ac:dyDescent="0.25">
      <c r="B8" s="3"/>
      <c r="C8" s="3"/>
      <c r="D8" s="20">
        <v>0</v>
      </c>
      <c r="E8" s="20">
        <f>Table4[[#This Row],[Budget]]</f>
        <v>0</v>
      </c>
      <c r="F8" s="20">
        <f>SUMIFS(Variations!$E$7:$E$17,Variations!$C$7:$C$17,C8,Variations!$D$7:$D$17,$F$6)</f>
        <v>0</v>
      </c>
      <c r="G8" s="20">
        <f>SUMIFS(Variations!$E$7:$E$17,Variations!$C$7:$C$17,C8,Variations!$D$7:$D$17,$G$6)</f>
        <v>0</v>
      </c>
      <c r="H8" s="20">
        <f>SUM(E8:G8)</f>
        <v>0</v>
      </c>
      <c r="I8" s="20">
        <f>H8-D8</f>
        <v>0</v>
      </c>
      <c r="J8" s="20">
        <f ca="1">SUMIF(Invoices!$F$7:$F$15,'Project Summary'!C8,Invoices!$G$7:$G$14)</f>
        <v>0</v>
      </c>
      <c r="K8" s="20">
        <f>SUMIFS(Invoices!$G$7:$G$8, Invoices!$F$7:$F$8, C8, Invoices!$H$7:$H$8, Invoices!#REF!)</f>
        <v>0</v>
      </c>
      <c r="L8" s="20">
        <f ca="1">H8-J8</f>
        <v>0</v>
      </c>
    </row>
    <row r="9" spans="1:12" ht="15.75" customHeight="1" x14ac:dyDescent="0.25">
      <c r="B9" s="3"/>
      <c r="C9" s="3"/>
      <c r="D9" s="20">
        <v>0</v>
      </c>
      <c r="E9" s="20">
        <f>Table4[[#This Row],[Budget]]</f>
        <v>0</v>
      </c>
      <c r="F9" s="20">
        <f>SUMIFS(Variations!$E$7:$E$17,Variations!$C$7:$C$17,C9,Variations!$D$7:$D$17,$F$6)</f>
        <v>0</v>
      </c>
      <c r="G9" s="20">
        <f>SUMIFS(Variations!$E$7:$E$17,Variations!$C$7:$C$17,C9,Variations!$D$7:$D$17,$G$6)</f>
        <v>0</v>
      </c>
      <c r="H9" s="20">
        <f>SUM(E9:G9)</f>
        <v>0</v>
      </c>
      <c r="I9" s="20">
        <f>H9-D9</f>
        <v>0</v>
      </c>
      <c r="J9" s="20">
        <f ca="1">SUMIF(Invoices!$F$7:$F$15,'Project Summary'!C9,Invoices!$G$7:$G$14)</f>
        <v>0</v>
      </c>
      <c r="K9" s="20">
        <f>SUMIFS(Invoices!$G$7:$G$8, Invoices!$F$7:$F$8, C9, Invoices!$H$7:$H$8, Invoices!#REF!)</f>
        <v>0</v>
      </c>
      <c r="L9" s="20">
        <f ca="1">H9-J9</f>
        <v>0</v>
      </c>
    </row>
    <row r="10" spans="1:12" ht="15.75" customHeight="1" x14ac:dyDescent="0.25">
      <c r="B10" s="3"/>
      <c r="C10" s="3"/>
      <c r="D10" s="20">
        <v>0</v>
      </c>
      <c r="E10" s="20">
        <f>Table4[[#This Row],[Budget]]</f>
        <v>0</v>
      </c>
      <c r="F10" s="20">
        <f>SUMIFS(Variations!$E$7:$E$17,Variations!$C$7:$C$17,C10,Variations!$D$7:$D$17,$F$6)</f>
        <v>0</v>
      </c>
      <c r="G10" s="20">
        <f>SUMIFS(Variations!$E$7:$E$17,Variations!$C$7:$C$17,C10,Variations!$D$7:$D$17,$G$6)</f>
        <v>0</v>
      </c>
      <c r="H10" s="20">
        <f>SUM(E10:G10)</f>
        <v>0</v>
      </c>
      <c r="I10" s="20">
        <f>H10-D10</f>
        <v>0</v>
      </c>
      <c r="J10" s="20">
        <f ca="1">SUMIF(Invoices!$F$7:$F$15,'Project Summary'!C10,Invoices!$G$7:$G$14)</f>
        <v>0</v>
      </c>
      <c r="K10" s="20">
        <f>SUMIFS(Invoices!$G$7:$G$8, Invoices!$F$7:$F$8, C10, Invoices!$H$7:$H$8, Invoices!#REF!)</f>
        <v>0</v>
      </c>
      <c r="L10" s="20">
        <f ca="1">H10-J10</f>
        <v>0</v>
      </c>
    </row>
    <row r="11" spans="1:12" x14ac:dyDescent="0.25">
      <c r="A11" s="2" t="s">
        <v>16</v>
      </c>
      <c r="C11" s="3"/>
      <c r="D11" s="22">
        <f>SUBTOTAL(109,Table4[Budget])</f>
        <v>0</v>
      </c>
      <c r="E11" s="22">
        <f>SUBTOTAL(109,Table4[Approved Contract])</f>
        <v>0</v>
      </c>
      <c r="F11" s="23">
        <f>SUBTOTAL(109,Table4[Forecast])</f>
        <v>0</v>
      </c>
      <c r="G11" s="23">
        <f>SUBTOTAL(109,Table4[Approved])</f>
        <v>0</v>
      </c>
      <c r="H11" s="22">
        <f>SUBTOTAL(109,Table4[Forecast Final Cost])</f>
        <v>0</v>
      </c>
      <c r="I11" s="22">
        <f>SUBTOTAL(109,Table4[BUDGET VARIANCE])</f>
        <v>0</v>
      </c>
      <c r="J11" s="22">
        <f ca="1">SUBTOTAL(109,Table4[Claimed to Date])</f>
        <v>0</v>
      </c>
      <c r="K11" s="22"/>
      <c r="L11" s="22">
        <f ca="1">SUBTOTAL(109,Table4[Remaining to be invoiced])</f>
        <v>0</v>
      </c>
    </row>
    <row r="12" spans="1:12" x14ac:dyDescent="0.25">
      <c r="A12" s="24"/>
      <c r="B12" s="25"/>
      <c r="C12" s="26"/>
      <c r="D12" s="26"/>
      <c r="E12" s="27"/>
      <c r="F12" s="27"/>
      <c r="G12" s="27"/>
      <c r="H12" s="26"/>
      <c r="I12" s="26"/>
      <c r="J12" s="26"/>
      <c r="K12" s="26"/>
    </row>
    <row r="13" spans="1:12" ht="24" customHeight="1" x14ac:dyDescent="0.25">
      <c r="A13" s="38" t="s">
        <v>3</v>
      </c>
      <c r="B13" s="38" t="s">
        <v>4</v>
      </c>
      <c r="C13" s="39" t="s">
        <v>5</v>
      </c>
      <c r="D13" s="39" t="s">
        <v>6</v>
      </c>
      <c r="E13" s="39" t="s">
        <v>7</v>
      </c>
      <c r="F13" s="39" t="s">
        <v>8</v>
      </c>
      <c r="G13" s="39" t="s">
        <v>9</v>
      </c>
      <c r="H13" s="39" t="s">
        <v>10</v>
      </c>
      <c r="I13" s="39" t="s">
        <v>11</v>
      </c>
      <c r="J13" s="39" t="s">
        <v>12</v>
      </c>
      <c r="K13" s="39" t="s">
        <v>13</v>
      </c>
      <c r="L13" s="39" t="s">
        <v>14</v>
      </c>
    </row>
    <row r="14" spans="1:12" x14ac:dyDescent="0.25">
      <c r="A14" s="40" t="s">
        <v>17</v>
      </c>
      <c r="B14" s="18"/>
      <c r="C14" s="19"/>
      <c r="D14" s="28"/>
      <c r="E14" s="28"/>
      <c r="F14" s="28">
        <f ca="1">SUMIF(Invoices!$F$7:$F$15,'Project Summary'!#REF!,Invoices!$G$7:$G$14)</f>
        <v>0</v>
      </c>
      <c r="G14" s="28">
        <f>SUMIFS(Variations!$E$7:$E$17,Variations!$C$7:$C$17,C14,Variations!$D$7:$D$17,$G$6)</f>
        <v>0</v>
      </c>
      <c r="H14" s="28">
        <f t="shared" ref="H14" ca="1" si="0">SUM(E14:G14)</f>
        <v>0</v>
      </c>
      <c r="I14" s="28">
        <f t="shared" ref="I14" ca="1" si="1">H14-D14</f>
        <v>0</v>
      </c>
      <c r="J14" s="28">
        <f ca="1">SUMIF(Invoices!$F$7:$F$15,'Project Summary'!C14,Invoices!$G$7:$G$14)</f>
        <v>0</v>
      </c>
      <c r="K14" s="28">
        <f>SUMIFS(Invoices!$G$7:$G$8, Invoices!$F$7:$F$8, C14, Invoices!$H$7:$H$8, Invoices!#REF!)</f>
        <v>0</v>
      </c>
      <c r="L14" s="28">
        <f t="shared" ref="L14" ca="1" si="2">H14-J14</f>
        <v>0</v>
      </c>
    </row>
    <row r="15" spans="1:12" x14ac:dyDescent="0.25">
      <c r="B15" s="3"/>
      <c r="C15" s="29"/>
      <c r="D15" s="20">
        <v>0</v>
      </c>
      <c r="E15" s="20">
        <v>0</v>
      </c>
      <c r="F15" s="20">
        <f>SUMIFS(Variations!$E$7:$E$17,Variations!$C$7:$C$17,C15,Variations!$D$7:$D$17,$F$6)</f>
        <v>0</v>
      </c>
      <c r="G15" s="20">
        <f>SUMIFS(Variations!$E$7:$E$17,Variations!$C$7:$C$17,C15,Variations!$D$7:$D$17,$G$6)</f>
        <v>0</v>
      </c>
      <c r="H15" s="20">
        <f>SUM(E15:G15)</f>
        <v>0</v>
      </c>
      <c r="I15" s="20">
        <f>H15-D15</f>
        <v>0</v>
      </c>
      <c r="J15" s="20">
        <f ca="1">SUMIF(Invoices!$F$7:$F$15,'Project Summary'!C15,Invoices!$G$7:$G$14)</f>
        <v>0</v>
      </c>
      <c r="K15" s="20">
        <f>SUMIFS(Invoices!$G$7:$G$8, Invoices!$F$7:$F$8, C15, Invoices!$H$7:$H$8, Invoices!#REF!)</f>
        <v>0</v>
      </c>
      <c r="L15" s="20">
        <f ca="1">H15-J15</f>
        <v>0</v>
      </c>
    </row>
    <row r="16" spans="1:12" x14ac:dyDescent="0.25">
      <c r="B16" s="3"/>
      <c r="C16" s="3"/>
      <c r="D16" s="20">
        <v>0</v>
      </c>
      <c r="E16" s="20">
        <v>0</v>
      </c>
      <c r="F16" s="20">
        <f>SUMIFS(Variations!$E$7:$E$17,Variations!$C$7:$C$17,C16,Variations!$D$7:$D$17,$F$6)</f>
        <v>0</v>
      </c>
      <c r="G16" s="20">
        <f>SUMIFS(Variations!$E$7:$E$17,Variations!$C$7:$C$17,C16,Variations!$D$7:$D$17,$G$6)</f>
        <v>0</v>
      </c>
      <c r="H16" s="20">
        <f t="shared" ref="H16:H19" si="3">SUM(E16:G16)</f>
        <v>0</v>
      </c>
      <c r="I16" s="20">
        <f t="shared" ref="I16:I19" si="4">H16-D16</f>
        <v>0</v>
      </c>
      <c r="J16" s="20">
        <f ca="1">SUMIF(Invoices!$F$7:$F$15,'Project Summary'!C16,Invoices!$G$7:$G$14)</f>
        <v>0</v>
      </c>
      <c r="K16" s="20">
        <f>SUMIFS(Invoices!$G$7:$G$8, Invoices!$F$7:$F$8, C16, Invoices!$H$7:$H$8, Invoices!#REF!)</f>
        <v>0</v>
      </c>
      <c r="L16" s="20">
        <f t="shared" ref="L16:L19" ca="1" si="5">H16-J16</f>
        <v>0</v>
      </c>
    </row>
    <row r="17" spans="1:14" x14ac:dyDescent="0.25">
      <c r="B17" s="29"/>
      <c r="C17" s="3"/>
      <c r="D17" s="20">
        <v>0</v>
      </c>
      <c r="E17" s="20">
        <v>0</v>
      </c>
      <c r="F17" s="20">
        <f>SUMIFS(Variations!$E$7:$E$17,Variations!$C$7:$C$17,C17,Variations!$D$7:$D$17,$F$6)</f>
        <v>0</v>
      </c>
      <c r="G17" s="20">
        <f>SUMIFS(Variations!$E$7:$E$17,Variations!$C$7:$C$17,C17,Variations!$D$7:$D$17,$G$6)</f>
        <v>0</v>
      </c>
      <c r="H17" s="20">
        <f t="shared" si="3"/>
        <v>0</v>
      </c>
      <c r="I17" s="20">
        <f t="shared" si="4"/>
        <v>0</v>
      </c>
      <c r="J17" s="20">
        <f ca="1">SUMIF(Invoices!$F$7:$F$15,'Project Summary'!C17,Invoices!$G$7:$G$14)</f>
        <v>0</v>
      </c>
      <c r="K17" s="20">
        <f>SUMIFS(Invoices!$G$7:$G$8, Invoices!$F$7:$F$8, C17, Invoices!$H$7:$H$8, Invoices!#REF!)</f>
        <v>0</v>
      </c>
      <c r="L17" s="20">
        <f t="shared" ca="1" si="5"/>
        <v>0</v>
      </c>
    </row>
    <row r="18" spans="1:14" x14ac:dyDescent="0.25">
      <c r="B18" s="29"/>
      <c r="C18" s="3"/>
      <c r="D18" s="20">
        <v>0</v>
      </c>
      <c r="E18" s="20">
        <v>0</v>
      </c>
      <c r="F18" s="20">
        <f>SUMIFS(Variations!$E$7:$E$17,Variations!$C$7:$C$17,C18,Variations!$D$7:$D$17,$F$6)</f>
        <v>0</v>
      </c>
      <c r="G18" s="20">
        <f>SUMIFS(Variations!$E$7:$E$17,Variations!$C$7:$C$17,C18,Variations!$D$7:$D$17,$G$6)</f>
        <v>0</v>
      </c>
      <c r="H18" s="20">
        <f t="shared" si="3"/>
        <v>0</v>
      </c>
      <c r="I18" s="20">
        <f t="shared" si="4"/>
        <v>0</v>
      </c>
      <c r="J18" s="20">
        <f ca="1">SUMIF(Invoices!$F$7:$F$15,'Project Summary'!C18,Invoices!$G$7:$G$14)</f>
        <v>0</v>
      </c>
      <c r="K18" s="20">
        <f>SUMIFS(Invoices!$G$7:$G$8, Invoices!$F$7:$F$8, C18, Invoices!$H$7:$H$8, Invoices!#REF!)</f>
        <v>0</v>
      </c>
      <c r="L18" s="20">
        <f t="shared" ca="1" si="5"/>
        <v>0</v>
      </c>
    </row>
    <row r="19" spans="1:14" x14ac:dyDescent="0.25">
      <c r="B19" s="29"/>
      <c r="C19" s="3"/>
      <c r="D19" s="20">
        <v>0</v>
      </c>
      <c r="E19" s="20">
        <v>0</v>
      </c>
      <c r="F19" s="20">
        <f>SUMIFS(Variations!$E$7:$E$17,Variations!$C$7:$C$17,C19,Variations!$D$7:$D$17,$F$6)</f>
        <v>0</v>
      </c>
      <c r="G19" s="20">
        <f>SUMIFS(Variations!$E$7:$E$17,Variations!$C$7:$C$17,C19,Variations!$D$7:$D$17,$G$6)</f>
        <v>0</v>
      </c>
      <c r="H19" s="20">
        <f t="shared" si="3"/>
        <v>0</v>
      </c>
      <c r="I19" s="20">
        <f t="shared" si="4"/>
        <v>0</v>
      </c>
      <c r="J19" s="20">
        <f ca="1">SUMIF(Invoices!$F$7:$F$15,'Project Summary'!C19,Invoices!$G$7:$G$14)</f>
        <v>0</v>
      </c>
      <c r="K19" s="20">
        <f>SUMIFS(Invoices!$G$7:$G$8, Invoices!$F$7:$F$8, C19, Invoices!$H$7:$H$8, Invoices!#REF!)</f>
        <v>0</v>
      </c>
      <c r="L19" s="20">
        <f t="shared" ca="1" si="5"/>
        <v>0</v>
      </c>
    </row>
    <row r="20" spans="1:14" x14ac:dyDescent="0.25">
      <c r="A20" s="2" t="s">
        <v>16</v>
      </c>
      <c r="C20" s="3"/>
      <c r="D20" s="23">
        <f>SUBTOTAL(109,Table6[Budget])</f>
        <v>0</v>
      </c>
      <c r="E20" s="23">
        <f>SUBTOTAL(109,Table6[Approved Contract])</f>
        <v>0</v>
      </c>
      <c r="F20" s="23">
        <f ca="1">SUBTOTAL(109,Table6[Forecast])</f>
        <v>0</v>
      </c>
      <c r="G20" s="23">
        <f>SUBTOTAL(109,Table6[Approved])</f>
        <v>0</v>
      </c>
      <c r="H20" s="23">
        <f ca="1">SUBTOTAL(109,Table6[Forecast Final Cost])</f>
        <v>0</v>
      </c>
      <c r="I20" s="23">
        <f ca="1">SUBTOTAL(109,Table6[BUDGET VARIANCE])</f>
        <v>0</v>
      </c>
      <c r="J20" s="23">
        <f ca="1">SUBTOTAL(109,Table6[Claimed to Date])</f>
        <v>0</v>
      </c>
      <c r="K20" s="23">
        <f>SUM(K15:K19)</f>
        <v>0</v>
      </c>
      <c r="L20" s="22">
        <f ca="1">SUBTOTAL(109,Table6[Remaining to be invoiced])</f>
        <v>0</v>
      </c>
    </row>
    <row r="21" spans="1:14" x14ac:dyDescent="0.25">
      <c r="A21" s="24"/>
      <c r="B21" s="25"/>
      <c r="C21" s="26"/>
      <c r="D21" s="26"/>
      <c r="E21" s="27"/>
      <c r="F21" s="27"/>
      <c r="G21" s="27"/>
      <c r="H21" s="26"/>
      <c r="I21" s="26"/>
      <c r="J21" s="26"/>
      <c r="K21" s="26"/>
    </row>
    <row r="22" spans="1:14" ht="24" customHeight="1" x14ac:dyDescent="0.25">
      <c r="A22" s="38" t="s">
        <v>3</v>
      </c>
      <c r="B22" s="38" t="s">
        <v>4</v>
      </c>
      <c r="C22" s="39" t="s">
        <v>5</v>
      </c>
      <c r="D22" s="39" t="s">
        <v>6</v>
      </c>
      <c r="E22" s="39" t="s">
        <v>7</v>
      </c>
      <c r="F22" s="39" t="s">
        <v>8</v>
      </c>
      <c r="G22" s="39" t="s">
        <v>9</v>
      </c>
      <c r="H22" s="39" t="s">
        <v>10</v>
      </c>
      <c r="I22" s="39" t="s">
        <v>11</v>
      </c>
      <c r="J22" s="39" t="s">
        <v>12</v>
      </c>
      <c r="K22" s="39" t="s">
        <v>13</v>
      </c>
      <c r="L22" s="39" t="s">
        <v>14</v>
      </c>
    </row>
    <row r="23" spans="1:14" x14ac:dyDescent="0.25">
      <c r="A23" s="40" t="s">
        <v>18</v>
      </c>
      <c r="B23" s="18"/>
      <c r="C23" s="19"/>
      <c r="D23" s="28"/>
      <c r="E23" s="28"/>
      <c r="F23" s="28"/>
      <c r="G23" s="28"/>
      <c r="H23" s="28"/>
      <c r="I23" s="28"/>
      <c r="J23" s="28"/>
      <c r="K23" s="28">
        <f>SUMIFS(Invoices!$G$7:$G$8, Invoices!$F$7:$F$8,#REF!, Invoices!$H$7:$H$8, Invoices!#REF!)</f>
        <v>0</v>
      </c>
      <c r="L23" s="28"/>
    </row>
    <row r="24" spans="1:14" ht="15" x14ac:dyDescent="0.25">
      <c r="A24"/>
      <c r="B24" s="29"/>
      <c r="C24" s="3"/>
      <c r="D24" s="20">
        <v>0</v>
      </c>
      <c r="E24" s="20">
        <v>0</v>
      </c>
      <c r="F24" s="20">
        <f>SUMIFS(Variations!$E$7:$E$17,Variations!$C$7:$C$17,C24,Variations!$D$7:$D$17,$F$6)</f>
        <v>0</v>
      </c>
      <c r="G24" s="20">
        <f>SUMIFS(Variations!$E$7:$E$17,Variations!$C$7:$C$17,C24,Variations!$D$7:$D$17,$G$6)</f>
        <v>0</v>
      </c>
      <c r="H24" s="20">
        <f>SUM(E24:G24)</f>
        <v>0</v>
      </c>
      <c r="I24" s="20">
        <f>H24-D24</f>
        <v>0</v>
      </c>
      <c r="J24" s="20">
        <f ca="1">SUMIF(Invoices!$F$7:$F$15,'Project Summary'!C24,Invoices!$G$7:$G$14)</f>
        <v>0</v>
      </c>
      <c r="K24" s="20">
        <f>SUMIFS(Invoices!$G$7:$G$8, Invoices!$F$7:$F$8, C24, Invoices!$H$7:$H$8, Invoices!#REF!)</f>
        <v>0</v>
      </c>
      <c r="L24" s="20">
        <f ca="1">H24-J24</f>
        <v>0</v>
      </c>
    </row>
    <row r="25" spans="1:14" ht="15" x14ac:dyDescent="0.25">
      <c r="A25"/>
      <c r="B25" s="29"/>
      <c r="C25" s="3"/>
      <c r="D25" s="20">
        <v>0</v>
      </c>
      <c r="E25" s="20">
        <v>0</v>
      </c>
      <c r="F25" s="20">
        <f>SUMIFS(Variations!$E$7:$E$17,Variations!$C$7:$C$17,C25,Variations!$D$7:$D$17,$F$6)</f>
        <v>0</v>
      </c>
      <c r="G25" s="20">
        <f>SUMIFS(Variations!$E$7:$E$17,Variations!$C$7:$C$17,C25,Variations!$D$7:$D$17,$G$6)</f>
        <v>0</v>
      </c>
      <c r="H25" s="20">
        <f t="shared" ref="H25:H27" si="6">SUM(E25:G25)</f>
        <v>0</v>
      </c>
      <c r="I25" s="20">
        <f t="shared" ref="I25:I27" si="7">H25-D25</f>
        <v>0</v>
      </c>
      <c r="J25" s="20">
        <f ca="1">SUMIF(Invoices!$F$7:$F$15,'Project Summary'!C25,Invoices!$G$7:$G$14)</f>
        <v>0</v>
      </c>
      <c r="K25" s="20">
        <f>SUMIFS(Invoices!$G$7:$G$8, Invoices!$F$7:$F$8, C25, Invoices!$H$7:$H$8, Invoices!#REF!)</f>
        <v>0</v>
      </c>
      <c r="L25" s="20">
        <f t="shared" ref="L25:L27" ca="1" si="8">H25-J25</f>
        <v>0</v>
      </c>
    </row>
    <row r="26" spans="1:14" ht="15" x14ac:dyDescent="0.25">
      <c r="A26"/>
      <c r="B26" s="29"/>
      <c r="C26" s="3"/>
      <c r="D26" s="20">
        <v>0</v>
      </c>
      <c r="E26" s="20">
        <v>0</v>
      </c>
      <c r="F26" s="20">
        <f>SUMIFS(Variations!$E$7:$E$17,Variations!$C$7:$C$17,C26,Variations!$D$7:$D$17,$F$6)</f>
        <v>0</v>
      </c>
      <c r="G26" s="20">
        <f>SUMIFS(Variations!$E$7:$E$17,Variations!$C$7:$C$17,C26,Variations!$D$7:$D$17,$G$6)</f>
        <v>0</v>
      </c>
      <c r="H26" s="20">
        <f t="shared" si="6"/>
        <v>0</v>
      </c>
      <c r="I26" s="20">
        <f t="shared" si="7"/>
        <v>0</v>
      </c>
      <c r="J26" s="20">
        <f ca="1">SUMIF(Invoices!$F$7:$F$15,'Project Summary'!C26,Invoices!$G$7:$G$14)</f>
        <v>0</v>
      </c>
      <c r="K26" s="20">
        <f>SUMIFS(Invoices!$G$7:$G$8, Invoices!$F$7:$F$8, C26, Invoices!$H$7:$H$8, Invoices!#REF!)</f>
        <v>0</v>
      </c>
      <c r="L26" s="20">
        <f t="shared" ca="1" si="8"/>
        <v>0</v>
      </c>
    </row>
    <row r="27" spans="1:14" ht="15" x14ac:dyDescent="0.25">
      <c r="A27"/>
      <c r="B27" s="29"/>
      <c r="C27" s="3"/>
      <c r="D27" s="20">
        <v>0</v>
      </c>
      <c r="E27" s="20">
        <v>0</v>
      </c>
      <c r="F27" s="20">
        <f>SUMIFS(Variations!$E$7:$E$17,Variations!$C$7:$C$17,C27,Variations!$D$7:$D$17,$F$6)</f>
        <v>0</v>
      </c>
      <c r="G27" s="20">
        <f>SUMIFS(Variations!$E$7:$E$17,Variations!$C$7:$C$17,C27,Variations!$D$7:$D$17,$G$6)</f>
        <v>0</v>
      </c>
      <c r="H27" s="20">
        <f t="shared" si="6"/>
        <v>0</v>
      </c>
      <c r="I27" s="20">
        <f t="shared" si="7"/>
        <v>0</v>
      </c>
      <c r="J27" s="20">
        <f ca="1">SUMIF(Invoices!$F$7:$F$15,'Project Summary'!C27,Invoices!$G$7:$G$14)</f>
        <v>0</v>
      </c>
      <c r="K27" s="20">
        <f>SUMIFS(Invoices!$G$7:$G$8, Invoices!$F$7:$F$8, C27, Invoices!$H$7:$H$8, Invoices!#REF!)</f>
        <v>0</v>
      </c>
      <c r="L27" s="20">
        <f t="shared" ca="1" si="8"/>
        <v>0</v>
      </c>
    </row>
    <row r="28" spans="1:14" x14ac:dyDescent="0.25">
      <c r="A28" s="2" t="s">
        <v>16</v>
      </c>
      <c r="C28" s="3"/>
      <c r="D28" s="23">
        <f>SUBTOTAL(109,PC_Table[Budget])</f>
        <v>0</v>
      </c>
      <c r="E28" s="23">
        <f>SUBTOTAL(109,PC_Table[Approved Contract])</f>
        <v>0</v>
      </c>
      <c r="F28" s="23">
        <f>SUBTOTAL(109,PC_Table[Forecast])</f>
        <v>0</v>
      </c>
      <c r="G28" s="23">
        <f>SUBTOTAL(109,PC_Table[Approved])</f>
        <v>0</v>
      </c>
      <c r="H28" s="22">
        <f>SUBTOTAL(109,PC_Table[Forecast Final Cost])</f>
        <v>0</v>
      </c>
      <c r="I28" s="22">
        <f>SUBTOTAL(109,PC_Table[BUDGET VARIANCE])</f>
        <v>0</v>
      </c>
      <c r="J28" s="22">
        <f ca="1">SUBTOTAL(109,PC_Table[Claimed to Date])</f>
        <v>0</v>
      </c>
      <c r="K28" s="22">
        <f>SUM(K24:K27)</f>
        <v>0</v>
      </c>
      <c r="L28" s="22">
        <f ca="1">SUBTOTAL(109,PC_Table[Remaining to be invoiced])</f>
        <v>0</v>
      </c>
    </row>
    <row r="29" spans="1:14" ht="24" customHeight="1" x14ac:dyDescent="0.25">
      <c r="A29" s="38" t="s">
        <v>3</v>
      </c>
      <c r="B29" s="38" t="s">
        <v>4</v>
      </c>
      <c r="C29" s="39" t="s">
        <v>5</v>
      </c>
      <c r="D29" s="39" t="s">
        <v>6</v>
      </c>
      <c r="E29" s="39" t="s">
        <v>7</v>
      </c>
      <c r="F29" s="39" t="s">
        <v>8</v>
      </c>
      <c r="G29" s="39" t="s">
        <v>9</v>
      </c>
      <c r="H29" s="39" t="s">
        <v>10</v>
      </c>
      <c r="I29" s="39" t="s">
        <v>11</v>
      </c>
      <c r="J29" s="39" t="s">
        <v>12</v>
      </c>
      <c r="K29" s="39" t="s">
        <v>13</v>
      </c>
      <c r="L29" s="39" t="s">
        <v>14</v>
      </c>
    </row>
    <row r="30" spans="1:14" s="4" customFormat="1" x14ac:dyDescent="0.25">
      <c r="A30" s="40" t="s">
        <v>19</v>
      </c>
      <c r="B30" s="18"/>
      <c r="C30" s="19"/>
      <c r="D30" s="28">
        <f>0.1*SUM(D24:D26)</f>
        <v>0</v>
      </c>
      <c r="E30" s="28">
        <f>Table8[[#This Row],[Budget]]</f>
        <v>0</v>
      </c>
      <c r="F30" s="28">
        <f>SUMIFS(Variations!$E$7:$E$17,Variations!$C$7:$C$17,C30,Variations!$D$7:$D$17,$F$6)</f>
        <v>0</v>
      </c>
      <c r="G30" s="28">
        <f>SUMIFS(Variations!$E$7:$E$17,Variations!$C$7:$C$17,C30,Variations!$D$7:$D$17,$G$6)</f>
        <v>0</v>
      </c>
      <c r="H30" s="28"/>
      <c r="I30" s="28"/>
      <c r="J30" s="28"/>
      <c r="K30" s="28">
        <f>SUMIFS(Invoices!$G$7:$G$8, Invoices!$F$7:$F$8, C30, Invoices!$H$7:$H$8, Invoices!#REF!)</f>
        <v>0</v>
      </c>
      <c r="L30" s="28"/>
      <c r="N30" s="2"/>
    </row>
    <row r="31" spans="1:14" s="4" customFormat="1" x14ac:dyDescent="0.25">
      <c r="A31" s="9"/>
      <c r="B31" s="29"/>
      <c r="C31" s="3"/>
      <c r="D31" s="21">
        <f>0.1*SUM(D25:D27)</f>
        <v>0</v>
      </c>
      <c r="E31" s="21">
        <f>Table8[[#This Row],[Budget]]</f>
        <v>0</v>
      </c>
      <c r="F31" s="20">
        <f>SUMIFS(Variations!$E$7:$E$17,Variations!$C$7:$C$17,C31,Variations!$D$7:$D$17,$F$6)</f>
        <v>0</v>
      </c>
      <c r="G31" s="20">
        <f>SUMIFS(Variations!$E$7:$E$17,Variations!$C$7:$C$17,C31,Variations!$D$7:$D$17,$G$6)</f>
        <v>0</v>
      </c>
      <c r="H31" s="20">
        <f>SUM(E31:G31)</f>
        <v>0</v>
      </c>
      <c r="I31" s="20">
        <f>H31-D31</f>
        <v>0</v>
      </c>
      <c r="J31" s="20">
        <f ca="1">SUMIF(Invoices!$F$7:$F$15,C31,Invoices!$G$7:$G$8)</f>
        <v>0</v>
      </c>
      <c r="K31" s="20">
        <f>SUMIFS(Invoices!$G$7:$G$8, Invoices!$F$7:$F$8, C31, Invoices!$H$7:$H$8, Invoices!#REF!)</f>
        <v>0</v>
      </c>
      <c r="L31" s="20">
        <f ca="1">E31+G31-J31</f>
        <v>0</v>
      </c>
    </row>
    <row r="32" spans="1:14" x14ac:dyDescent="0.2">
      <c r="A32" s="2" t="s">
        <v>16</v>
      </c>
      <c r="C32" s="30"/>
      <c r="D32" s="31">
        <f>SUM(D31)</f>
        <v>0</v>
      </c>
      <c r="E32" s="31">
        <f>E31</f>
        <v>0</v>
      </c>
      <c r="F32" s="31">
        <f>SUBTOTAL(109,Table8[Forecast])</f>
        <v>0</v>
      </c>
      <c r="G32" s="31">
        <f>SUBTOTAL(109,Table8[Approved])</f>
        <v>0</v>
      </c>
      <c r="H32" s="31">
        <f>SUBTOTAL(109,Table8[Forecast Final Cost])</f>
        <v>0</v>
      </c>
      <c r="I32" s="30"/>
      <c r="J32" s="31">
        <f ca="1">SUBTOTAL(109,Table8[Claimed to Date])</f>
        <v>0</v>
      </c>
      <c r="K32" s="31"/>
      <c r="L32" s="31">
        <f ca="1">SUBTOTAL(109,Table8[Remaining to be invoiced])</f>
        <v>0</v>
      </c>
      <c r="N32" s="4"/>
    </row>
    <row r="33" spans="1:14" x14ac:dyDescent="0.25">
      <c r="B33" s="3"/>
      <c r="I33" s="5"/>
      <c r="L33" s="4"/>
    </row>
    <row r="34" spans="1:14" x14ac:dyDescent="0.25">
      <c r="A34" s="32" t="s">
        <v>20</v>
      </c>
      <c r="B34" s="42" t="s">
        <v>21</v>
      </c>
      <c r="C34" s="41"/>
      <c r="D34" s="33">
        <f t="shared" ref="D34:L34" si="9">SUM(D11,D32,D28,D20)</f>
        <v>0</v>
      </c>
      <c r="E34" s="33">
        <f t="shared" si="9"/>
        <v>0</v>
      </c>
      <c r="F34" s="33">
        <f t="shared" ca="1" si="9"/>
        <v>0</v>
      </c>
      <c r="G34" s="33">
        <f t="shared" si="9"/>
        <v>0</v>
      </c>
      <c r="H34" s="33">
        <f t="shared" ca="1" si="9"/>
        <v>0</v>
      </c>
      <c r="I34" s="33">
        <f t="shared" ca="1" si="9"/>
        <v>0</v>
      </c>
      <c r="J34" s="33">
        <f t="shared" ca="1" si="9"/>
        <v>0</v>
      </c>
      <c r="K34" s="33">
        <f t="shared" si="9"/>
        <v>0</v>
      </c>
      <c r="L34" s="33">
        <f t="shared" ca="1" si="9"/>
        <v>0</v>
      </c>
    </row>
    <row r="35" spans="1:14" x14ac:dyDescent="0.25">
      <c r="B35" s="7"/>
      <c r="E35" s="7"/>
    </row>
    <row r="36" spans="1:14" s="47" customFormat="1" x14ac:dyDescent="0.25">
      <c r="A36" s="43"/>
      <c r="B36" s="44"/>
      <c r="C36" s="45"/>
      <c r="D36" s="46"/>
      <c r="E36" s="44"/>
      <c r="N36" s="2"/>
    </row>
    <row r="37" spans="1:14" x14ac:dyDescent="0.25">
      <c r="B37" s="7"/>
      <c r="C37" s="8"/>
      <c r="D37" s="8"/>
      <c r="E37" s="15"/>
      <c r="N37" s="47"/>
    </row>
    <row r="38" spans="1:14" x14ac:dyDescent="0.25">
      <c r="B38" s="7"/>
      <c r="C38" s="8"/>
      <c r="D38" s="8"/>
      <c r="E38" s="15"/>
    </row>
    <row r="39" spans="1:14" x14ac:dyDescent="0.25">
      <c r="B39" s="7"/>
      <c r="C39" s="7"/>
      <c r="D39" s="8"/>
      <c r="E39" s="15"/>
    </row>
    <row r="40" spans="1:14" x14ac:dyDescent="0.25">
      <c r="B40" s="7"/>
      <c r="C40" s="7"/>
      <c r="D40" s="8"/>
      <c r="E40" s="7"/>
    </row>
    <row r="41" spans="1:14" x14ac:dyDescent="0.25">
      <c r="B41" s="7"/>
      <c r="C41" s="7"/>
      <c r="D41" s="8"/>
      <c r="E41" s="15"/>
    </row>
    <row r="42" spans="1:14" x14ac:dyDescent="0.25">
      <c r="B42" s="7"/>
      <c r="C42" s="7"/>
      <c r="D42" s="8"/>
      <c r="E42" s="7"/>
    </row>
    <row r="43" spans="1:14" x14ac:dyDescent="0.25">
      <c r="B43" s="7"/>
      <c r="C43" s="7"/>
      <c r="D43" s="8"/>
      <c r="E43" s="7"/>
    </row>
    <row r="44" spans="1:14" x14ac:dyDescent="0.25">
      <c r="B44" s="7"/>
      <c r="C44" s="7"/>
      <c r="D44" s="8"/>
      <c r="E44" s="7"/>
    </row>
    <row r="45" spans="1:14" x14ac:dyDescent="0.25">
      <c r="B45" s="7"/>
      <c r="C45" s="7"/>
      <c r="D45" s="8"/>
      <c r="E45" s="7"/>
    </row>
    <row r="46" spans="1:14" x14ac:dyDescent="0.25">
      <c r="B46" s="7"/>
      <c r="C46" s="7"/>
      <c r="D46" s="8"/>
      <c r="E46" s="7"/>
    </row>
    <row r="47" spans="1:14" x14ac:dyDescent="0.25">
      <c r="B47" s="7"/>
      <c r="C47" s="7"/>
      <c r="D47" s="8"/>
      <c r="E47" s="7"/>
    </row>
    <row r="48" spans="1:14" x14ac:dyDescent="0.25">
      <c r="B48" s="7"/>
      <c r="C48" s="7"/>
      <c r="D48" s="8"/>
      <c r="E48" s="7"/>
    </row>
    <row r="49" spans="2:5" x14ac:dyDescent="0.25">
      <c r="B49" s="7"/>
      <c r="C49" s="7"/>
      <c r="D49" s="8"/>
      <c r="E49" s="7"/>
    </row>
    <row r="50" spans="2:5" x14ac:dyDescent="0.25">
      <c r="B50" s="7"/>
      <c r="C50" s="7"/>
      <c r="D50" s="8"/>
      <c r="E50" s="7"/>
    </row>
    <row r="51" spans="2:5" x14ac:dyDescent="0.25">
      <c r="B51" s="7"/>
      <c r="C51" s="7"/>
      <c r="D51" s="7"/>
      <c r="E51" s="7"/>
    </row>
    <row r="52" spans="2:5" x14ac:dyDescent="0.25">
      <c r="B52" s="7"/>
      <c r="C52" s="7"/>
      <c r="D52" s="7"/>
      <c r="E52" s="7"/>
    </row>
    <row r="53" spans="2:5" x14ac:dyDescent="0.25">
      <c r="B53" s="7"/>
      <c r="C53" s="7"/>
      <c r="D53" s="7"/>
      <c r="E53" s="7"/>
    </row>
    <row r="54" spans="2:5" x14ac:dyDescent="0.25">
      <c r="B54" s="7"/>
      <c r="C54" s="7"/>
      <c r="D54" s="7"/>
      <c r="E54" s="7"/>
    </row>
    <row r="55" spans="2:5" x14ac:dyDescent="0.25">
      <c r="B55" s="7"/>
      <c r="C55" s="7"/>
      <c r="D55" s="7"/>
      <c r="E55" s="7"/>
    </row>
    <row r="56" spans="2:5" x14ac:dyDescent="0.25">
      <c r="B56" s="7"/>
      <c r="C56" s="7"/>
      <c r="D56" s="7"/>
      <c r="E56" s="7"/>
    </row>
    <row r="57" spans="2:5" x14ac:dyDescent="0.25">
      <c r="B57" s="7"/>
      <c r="C57" s="7"/>
      <c r="D57" s="7"/>
      <c r="E57" s="7"/>
    </row>
    <row r="58" spans="2:5" x14ac:dyDescent="0.25">
      <c r="B58" s="7"/>
      <c r="C58" s="7"/>
      <c r="D58" s="7"/>
      <c r="E58" s="7"/>
    </row>
    <row r="59" spans="2:5" x14ac:dyDescent="0.25">
      <c r="B59" s="7"/>
      <c r="C59" s="7"/>
      <c r="D59" s="7"/>
      <c r="E59" s="7"/>
    </row>
    <row r="60" spans="2:5" x14ac:dyDescent="0.25">
      <c r="B60" s="7"/>
      <c r="C60" s="7"/>
      <c r="D60" s="7"/>
      <c r="E60" s="7"/>
    </row>
    <row r="61" spans="2:5" x14ac:dyDescent="0.25">
      <c r="B61" s="7"/>
      <c r="C61" s="7"/>
      <c r="D61" s="7"/>
      <c r="E61" s="7"/>
    </row>
    <row r="62" spans="2:5" x14ac:dyDescent="0.25">
      <c r="B62" s="7"/>
      <c r="C62" s="7"/>
      <c r="D62" s="7"/>
      <c r="E62" s="7"/>
    </row>
    <row r="63" spans="2:5" x14ac:dyDescent="0.25">
      <c r="B63" s="7"/>
      <c r="C63" s="7"/>
      <c r="D63" s="7"/>
      <c r="E63" s="7"/>
    </row>
    <row r="64" spans="2:5" x14ac:dyDescent="0.25">
      <c r="B64" s="7"/>
      <c r="C64" s="7"/>
      <c r="D64" s="7"/>
      <c r="E64" s="7"/>
    </row>
    <row r="65" spans="2:5" x14ac:dyDescent="0.25">
      <c r="B65" s="7"/>
      <c r="C65" s="7"/>
      <c r="D65" s="7"/>
      <c r="E65" s="7"/>
    </row>
    <row r="66" spans="2:5" x14ac:dyDescent="0.25">
      <c r="B66" s="7"/>
      <c r="C66" s="7"/>
      <c r="D66" s="7"/>
      <c r="E66" s="7"/>
    </row>
  </sheetData>
  <mergeCells count="3">
    <mergeCell ref="A4:B4"/>
    <mergeCell ref="A1:D1"/>
    <mergeCell ref="F5:H5"/>
  </mergeCells>
  <conditionalFormatting sqref="A8:B10 A12:K12 A14:L14 A15:B15 A16:C19 A21:K21 A23:K23 A24:C27 A30:K30 A31:B31 F31:G31 A34:L34">
    <cfRule type="cellIs" dxfId="28" priority="61" operator="lessThan">
      <formula>0</formula>
    </cfRule>
  </conditionalFormatting>
  <conditionalFormatting sqref="B8:C10">
    <cfRule type="cellIs" dxfId="27" priority="9" operator="lessThan">
      <formula>0</formula>
    </cfRule>
  </conditionalFormatting>
  <conditionalFormatting sqref="C15">
    <cfRule type="cellIs" dxfId="26" priority="6" operator="lessThan">
      <formula>0</formula>
    </cfRule>
  </conditionalFormatting>
  <conditionalFormatting sqref="C31">
    <cfRule type="cellIs" dxfId="25" priority="15" operator="lessThan">
      <formula>0</formula>
    </cfRule>
  </conditionalFormatting>
  <conditionalFormatting sqref="C36:D36">
    <cfRule type="cellIs" dxfId="24" priority="13" operator="lessThan">
      <formula>0</formula>
    </cfRule>
  </conditionalFormatting>
  <conditionalFormatting sqref="D31">
    <cfRule type="cellIs" dxfId="23" priority="11" operator="lessThan">
      <formula>0</formula>
    </cfRule>
  </conditionalFormatting>
  <conditionalFormatting sqref="D8:E10 H8:L10">
    <cfRule type="cellIs" dxfId="22" priority="10" operator="lessThan">
      <formula>0</formula>
    </cfRule>
  </conditionalFormatting>
  <conditionalFormatting sqref="D15:E19 H15:L19">
    <cfRule type="cellIs" dxfId="21" priority="4" operator="lessThan">
      <formula>0</formula>
    </cfRule>
  </conditionalFormatting>
  <conditionalFormatting sqref="D24:E27 H24:L27">
    <cfRule type="cellIs" dxfId="20" priority="2" operator="lessThan">
      <formula>0</formula>
    </cfRule>
  </conditionalFormatting>
  <conditionalFormatting sqref="E31">
    <cfRule type="cellIs" dxfId="19" priority="36" operator="lessThan">
      <formula>0</formula>
    </cfRule>
  </conditionalFormatting>
  <conditionalFormatting sqref="F8:G10">
    <cfRule type="cellIs" dxfId="18" priority="7" operator="lessThan">
      <formula>0</formula>
    </cfRule>
  </conditionalFormatting>
  <conditionalFormatting sqref="F15:G19">
    <cfRule type="cellIs" dxfId="17" priority="3" operator="lessThan">
      <formula>0</formula>
    </cfRule>
  </conditionalFormatting>
  <conditionalFormatting sqref="F24:G27">
    <cfRule type="cellIs" dxfId="16" priority="1" operator="lessThan">
      <formula>0</formula>
    </cfRule>
  </conditionalFormatting>
  <conditionalFormatting sqref="J31">
    <cfRule type="cellIs" dxfId="15" priority="50" operator="lessThan">
      <formula>0</formula>
    </cfRule>
  </conditionalFormatting>
  <conditionalFormatting sqref="K31">
    <cfRule type="cellIs" dxfId="14" priority="26" operator="lessThan">
      <formula>0</formula>
    </cfRule>
  </conditionalFormatting>
  <conditionalFormatting sqref="L23 L30:L31 H31:I31">
    <cfRule type="cellIs" dxfId="13" priority="51" operator="lessThan">
      <formula>0</formula>
    </cfRule>
  </conditionalFormatting>
  <pageMargins left="0.70866141732283472" right="0.70866141732283472" top="1.5748031496062991" bottom="0.74803149606299213" header="0.31496062992125978" footer="0.31496062992125978"/>
  <pageSetup paperSize="9" scale="65" fitToHeight="0" orientation="landscape" r:id="rId1"/>
  <headerFooter>
    <oddHeader>&amp;R&amp;G</oddHeader>
  </headerFooter>
  <tableParts count="4"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L15"/>
  <sheetViews>
    <sheetView zoomScaleNormal="100" zoomScaleSheetLayoutView="100" workbookViewId="0">
      <selection activeCell="D9" sqref="D9"/>
    </sheetView>
  </sheetViews>
  <sheetFormatPr defaultColWidth="9.140625" defaultRowHeight="15" x14ac:dyDescent="0.25"/>
  <cols>
    <col min="1" max="1" width="5.7109375" style="6" customWidth="1"/>
    <col min="2" max="2" width="15.42578125" style="6" bestFit="1" customWidth="1"/>
    <col min="3" max="3" width="20.85546875" style="6" bestFit="1" customWidth="1"/>
    <col min="4" max="4" width="20.85546875" style="6" customWidth="1"/>
    <col min="5" max="5" width="29" style="6" bestFit="1" customWidth="1"/>
    <col min="6" max="6" width="43.28515625" style="6" bestFit="1" customWidth="1"/>
    <col min="7" max="7" width="19.140625" style="6" bestFit="1" customWidth="1"/>
    <col min="8" max="8" width="19.140625" style="6" customWidth="1"/>
    <col min="9" max="9" width="16.5703125" style="6" bestFit="1" customWidth="1"/>
    <col min="10" max="10" width="83.5703125" style="6" hidden="1" customWidth="1"/>
    <col min="11" max="12" width="9.140625" style="6" customWidth="1"/>
    <col min="13" max="16384" width="9.140625" style="6"/>
  </cols>
  <sheetData>
    <row r="1" spans="2:12" x14ac:dyDescent="0.25">
      <c r="B1" s="73" t="s">
        <v>22</v>
      </c>
      <c r="C1" s="75"/>
      <c r="D1" s="75"/>
      <c r="E1" s="75"/>
      <c r="F1" s="10"/>
    </row>
    <row r="2" spans="2:12" ht="15.75" x14ac:dyDescent="0.25">
      <c r="B2" s="34" t="s">
        <v>43</v>
      </c>
      <c r="C2" s="35"/>
      <c r="D2" s="36"/>
      <c r="E2" s="36"/>
      <c r="F2" s="4"/>
    </row>
    <row r="3" spans="2:12" ht="15.75" x14ac:dyDescent="0.25">
      <c r="B3" s="34"/>
      <c r="C3" s="37"/>
      <c r="D3" s="36"/>
      <c r="E3" s="36"/>
      <c r="F3" s="4"/>
    </row>
    <row r="4" spans="2:12" x14ac:dyDescent="0.25">
      <c r="B4" s="71" t="s">
        <v>1</v>
      </c>
      <c r="C4" s="75"/>
      <c r="D4" s="4"/>
      <c r="E4" s="4"/>
      <c r="F4" s="4"/>
      <c r="I4" s="68" t="str">
        <f>'Project Summary'!L4</f>
        <v>v01</v>
      </c>
    </row>
    <row r="5" spans="2:12" x14ac:dyDescent="0.25">
      <c r="B5" s="12"/>
      <c r="C5" s="4"/>
      <c r="D5" s="4"/>
      <c r="E5" s="4"/>
      <c r="F5" s="4"/>
    </row>
    <row r="6" spans="2:12" x14ac:dyDescent="0.25">
      <c r="B6" s="39" t="s">
        <v>23</v>
      </c>
      <c r="C6" s="39" t="s">
        <v>4</v>
      </c>
      <c r="D6" s="39" t="s">
        <v>24</v>
      </c>
      <c r="E6" s="39" t="s">
        <v>25</v>
      </c>
      <c r="F6" s="39" t="s">
        <v>5</v>
      </c>
      <c r="G6" s="39" t="s">
        <v>26</v>
      </c>
      <c r="H6" s="39" t="s">
        <v>27</v>
      </c>
      <c r="I6" s="39" t="s">
        <v>28</v>
      </c>
      <c r="J6" s="11" t="s">
        <v>29</v>
      </c>
    </row>
    <row r="7" spans="2:12" x14ac:dyDescent="0.25">
      <c r="B7" s="51"/>
      <c r="C7" s="9"/>
      <c r="D7" s="9"/>
      <c r="E7" s="53"/>
      <c r="F7" s="29"/>
      <c r="G7" s="9"/>
      <c r="H7" s="51"/>
      <c r="I7" s="9"/>
      <c r="J7" s="13"/>
    </row>
    <row r="8" spans="2:12" x14ac:dyDescent="0.25">
      <c r="B8" s="51"/>
      <c r="C8" s="9"/>
      <c r="D8" s="9"/>
      <c r="E8" s="53"/>
      <c r="F8" s="29"/>
      <c r="G8" s="9"/>
      <c r="H8" s="51"/>
      <c r="I8" s="9"/>
      <c r="J8" s="13"/>
    </row>
    <row r="9" spans="2:12" x14ac:dyDescent="0.25">
      <c r="B9" s="51"/>
      <c r="C9" s="9"/>
      <c r="D9" s="9"/>
      <c r="E9" s="53"/>
      <c r="F9" s="29"/>
      <c r="G9" s="9"/>
      <c r="H9" s="51"/>
      <c r="I9" s="9"/>
      <c r="J9" s="13"/>
    </row>
    <row r="10" spans="2:12" x14ac:dyDescent="0.25">
      <c r="B10" s="51"/>
      <c r="C10" s="9"/>
      <c r="D10" s="9"/>
      <c r="E10" s="9"/>
      <c r="F10" s="9"/>
      <c r="G10" s="9"/>
      <c r="H10" s="51"/>
      <c r="I10" s="9"/>
      <c r="J10" s="13"/>
    </row>
    <row r="11" spans="2:12" x14ac:dyDescent="0.25">
      <c r="B11" s="51"/>
      <c r="C11" s="9"/>
      <c r="D11" s="9"/>
      <c r="E11" s="9"/>
      <c r="F11" s="9"/>
      <c r="G11" s="9"/>
      <c r="H11" s="51"/>
      <c r="I11" s="9"/>
      <c r="J11" s="13"/>
    </row>
    <row r="12" spans="2:12" x14ac:dyDescent="0.25">
      <c r="B12" s="51"/>
      <c r="C12" s="9"/>
      <c r="D12" s="9"/>
      <c r="E12" s="9"/>
      <c r="F12" s="9"/>
      <c r="G12" s="9"/>
      <c r="H12" s="51"/>
      <c r="I12" s="9"/>
      <c r="J12" s="13"/>
    </row>
    <row r="13" spans="2:12" x14ac:dyDescent="0.25">
      <c r="B13" s="51"/>
      <c r="C13" s="9"/>
      <c r="D13" s="9"/>
      <c r="E13" s="9"/>
      <c r="F13" s="9"/>
      <c r="G13" s="9"/>
      <c r="H13" s="51"/>
      <c r="I13" s="9"/>
      <c r="J13" s="13"/>
    </row>
    <row r="14" spans="2:12" x14ac:dyDescent="0.25">
      <c r="B14" s="51"/>
      <c r="C14" s="9"/>
      <c r="D14" s="9"/>
      <c r="E14" s="9"/>
      <c r="F14" s="9"/>
      <c r="G14" s="9"/>
      <c r="H14" s="51"/>
      <c r="I14" s="9"/>
      <c r="J14" s="13"/>
    </row>
    <row r="15" spans="2:12" s="49" customFormat="1" x14ac:dyDescent="0.25">
      <c r="B15" s="50" t="s">
        <v>30</v>
      </c>
      <c r="C15" s="50"/>
      <c r="D15" s="50"/>
      <c r="E15" s="50"/>
      <c r="F15" s="50"/>
      <c r="G15" s="50">
        <f>SUM(G7:G14)</f>
        <v>0</v>
      </c>
      <c r="H15" s="50"/>
      <c r="I15" s="50"/>
      <c r="J15" s="48"/>
      <c r="L15" s="6"/>
    </row>
  </sheetData>
  <mergeCells count="2">
    <mergeCell ref="B4:C4"/>
    <mergeCell ref="B1:E1"/>
  </mergeCells>
  <conditionalFormatting sqref="B7:I15">
    <cfRule type="cellIs" dxfId="12" priority="1" operator="lessThan">
      <formula>0</formula>
    </cfRule>
  </conditionalFormatting>
  <pageMargins left="0.70866141732283472" right="0.70866141732283472" top="1.5748031496062991" bottom="0.74803149606299213" header="0.31496062992125978" footer="0.31496062992125978"/>
  <pageSetup paperSize="9" scale="71" fitToHeight="0" orientation="landscape" r:id="rId1"/>
  <headerFooter>
    <oddHeader>&amp;R&amp;G</oddHeader>
  </headerFooter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F2D07F7-49F5-43B9-84AE-022A2D67542D}">
          <x14:formula1>
            <xm:f>'Project Summary'!$C$6:$C$33</xm:f>
          </x14:formula1>
          <xm:sqref>F7:F14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18"/>
  <sheetViews>
    <sheetView zoomScaleNormal="100" zoomScaleSheetLayoutView="115" workbookViewId="0">
      <selection activeCell="L6" sqref="L6"/>
    </sheetView>
  </sheetViews>
  <sheetFormatPr defaultColWidth="9.140625" defaultRowHeight="15" x14ac:dyDescent="0.25"/>
  <cols>
    <col min="1" max="1" width="17" style="62" customWidth="1"/>
    <col min="2" max="2" width="35.5703125" style="1" customWidth="1"/>
    <col min="3" max="3" width="33.140625" style="62" bestFit="1" customWidth="1"/>
    <col min="4" max="6" width="19.5703125" style="1" customWidth="1"/>
    <col min="7" max="7" width="5" customWidth="1"/>
    <col min="8" max="8" width="9.28515625" style="62" customWidth="1"/>
    <col min="9" max="9" width="10.85546875" style="62" customWidth="1"/>
    <col min="10" max="11" width="9.140625" style="62" customWidth="1"/>
    <col min="12" max="12" width="21.7109375" style="62" customWidth="1"/>
    <col min="13" max="14" width="9.140625" style="62" customWidth="1"/>
    <col min="15" max="16384" width="9.140625" style="62"/>
  </cols>
  <sheetData>
    <row r="1" spans="1:11" s="6" customFormat="1" ht="15.75" customHeight="1" x14ac:dyDescent="0.25">
      <c r="A1" s="34" t="s">
        <v>31</v>
      </c>
      <c r="B1" s="10"/>
    </row>
    <row r="2" spans="1:11" s="6" customFormat="1" ht="15.75" customHeight="1" x14ac:dyDescent="0.25">
      <c r="A2" s="34" t="s">
        <v>43</v>
      </c>
      <c r="B2" s="4"/>
    </row>
    <row r="3" spans="1:11" s="6" customFormat="1" ht="15.75" customHeight="1" x14ac:dyDescent="0.25">
      <c r="A3" s="34"/>
      <c r="B3" s="4"/>
    </row>
    <row r="4" spans="1:11" s="6" customFormat="1" x14ac:dyDescent="0.25">
      <c r="A4" s="67" t="s">
        <v>1</v>
      </c>
      <c r="B4" s="4"/>
      <c r="F4" s="77" t="str">
        <f>'Project Summary'!L4</f>
        <v>v01</v>
      </c>
    </row>
    <row r="5" spans="1:11" s="6" customFormat="1" x14ac:dyDescent="0.25">
      <c r="A5" s="54"/>
      <c r="B5" s="4"/>
      <c r="F5" s="76"/>
    </row>
    <row r="6" spans="1:11" s="70" customFormat="1" x14ac:dyDescent="0.25">
      <c r="A6" s="69" t="s">
        <v>32</v>
      </c>
      <c r="B6" s="69" t="s">
        <v>33</v>
      </c>
      <c r="C6" s="69" t="s">
        <v>34</v>
      </c>
      <c r="D6" s="69" t="s">
        <v>35</v>
      </c>
      <c r="E6" s="69" t="s">
        <v>36</v>
      </c>
      <c r="F6" s="69" t="s">
        <v>37</v>
      </c>
      <c r="K6" s="6"/>
    </row>
    <row r="7" spans="1:11" x14ac:dyDescent="0.25">
      <c r="A7" s="55"/>
      <c r="B7" s="61"/>
      <c r="C7" s="61"/>
      <c r="D7" s="58"/>
      <c r="E7" s="59"/>
      <c r="F7" s="60"/>
      <c r="G7" s="62"/>
      <c r="H7" s="62" t="s">
        <v>8</v>
      </c>
      <c r="K7" s="6"/>
    </row>
    <row r="8" spans="1:11" x14ac:dyDescent="0.25">
      <c r="A8" s="63"/>
      <c r="B8" s="57"/>
      <c r="C8" s="61"/>
      <c r="D8" s="58"/>
      <c r="E8" s="59"/>
      <c r="F8" s="60"/>
      <c r="G8" s="62"/>
      <c r="H8" s="62" t="s">
        <v>9</v>
      </c>
      <c r="K8" s="6"/>
    </row>
    <row r="9" spans="1:11" x14ac:dyDescent="0.25">
      <c r="A9" s="63"/>
      <c r="B9" s="57"/>
      <c r="C9" s="61"/>
      <c r="D9" s="58"/>
      <c r="E9" s="59"/>
      <c r="F9" s="60"/>
      <c r="G9" s="62"/>
      <c r="H9" s="62" t="s">
        <v>38</v>
      </c>
      <c r="K9" s="6"/>
    </row>
    <row r="10" spans="1:11" x14ac:dyDescent="0.25">
      <c r="A10" s="56"/>
      <c r="B10" s="57"/>
      <c r="C10" s="61"/>
      <c r="D10" s="58"/>
      <c r="E10" s="59"/>
      <c r="F10" s="60"/>
      <c r="G10" s="62"/>
      <c r="H10" s="62" t="s">
        <v>39</v>
      </c>
      <c r="K10" s="6"/>
    </row>
    <row r="11" spans="1:11" x14ac:dyDescent="0.25">
      <c r="A11" s="56"/>
      <c r="B11" s="57"/>
      <c r="C11" s="61"/>
      <c r="D11" s="58"/>
      <c r="E11" s="59"/>
      <c r="F11" s="60"/>
      <c r="G11" s="62"/>
      <c r="H11" s="62" t="s">
        <v>40</v>
      </c>
      <c r="K11" s="6"/>
    </row>
    <row r="12" spans="1:11" x14ac:dyDescent="0.25">
      <c r="A12" s="55"/>
      <c r="B12" s="57"/>
      <c r="C12" s="61"/>
      <c r="D12" s="58"/>
      <c r="E12" s="59"/>
      <c r="F12" s="60"/>
      <c r="G12" s="62"/>
      <c r="K12" s="6"/>
    </row>
    <row r="13" spans="1:11" x14ac:dyDescent="0.25">
      <c r="A13" s="56"/>
      <c r="B13" s="64"/>
      <c r="C13" s="61"/>
      <c r="D13" s="58"/>
      <c r="E13" s="59"/>
      <c r="F13" s="59"/>
      <c r="G13" s="62"/>
      <c r="K13" s="6"/>
    </row>
    <row r="14" spans="1:11" x14ac:dyDescent="0.25">
      <c r="A14" s="56"/>
      <c r="B14" s="64"/>
      <c r="C14" s="61"/>
      <c r="D14" s="58"/>
      <c r="E14" s="59"/>
      <c r="F14" s="59"/>
      <c r="G14" s="62"/>
    </row>
    <row r="15" spans="1:11" x14ac:dyDescent="0.25">
      <c r="A15" s="56"/>
      <c r="B15" s="64"/>
      <c r="C15" s="61"/>
      <c r="D15" s="58"/>
      <c r="E15" s="59"/>
      <c r="F15" s="59"/>
      <c r="G15" s="62"/>
    </row>
    <row r="16" spans="1:11" x14ac:dyDescent="0.25">
      <c r="A16" s="56"/>
      <c r="B16" s="64"/>
      <c r="C16" s="61"/>
      <c r="D16" s="58"/>
      <c r="E16" s="59"/>
      <c r="F16" s="59"/>
      <c r="G16" s="62"/>
    </row>
    <row r="17" spans="1:7" x14ac:dyDescent="0.25">
      <c r="A17" s="56"/>
      <c r="B17" s="64"/>
      <c r="C17" s="61"/>
      <c r="D17" s="58"/>
      <c r="E17" s="59"/>
      <c r="F17" s="59"/>
      <c r="G17" s="62"/>
    </row>
    <row r="18" spans="1:7" x14ac:dyDescent="0.25">
      <c r="A18" s="56" t="s">
        <v>41</v>
      </c>
      <c r="B18" s="65"/>
      <c r="C18" s="61"/>
      <c r="D18" s="58"/>
      <c r="E18" s="66">
        <f>SUBTOTAL(109,Table1[Amount Approved])</f>
        <v>0</v>
      </c>
      <c r="F18" s="58"/>
      <c r="G18" s="62"/>
    </row>
  </sheetData>
  <conditionalFormatting sqref="A7:A12 C7:F12 A13:F17">
    <cfRule type="expression" dxfId="11" priority="11">
      <formula>$D7="Submitted"</formula>
    </cfRule>
    <cfRule type="expression" dxfId="10" priority="12">
      <formula>$D7="Withdrawn"</formula>
    </cfRule>
    <cfRule type="expression" dxfId="9" priority="13">
      <formula>$D7="Rejected"</formula>
    </cfRule>
    <cfRule type="expression" dxfId="8" priority="14">
      <formula>$D7="Approved"</formula>
    </cfRule>
  </conditionalFormatting>
  <conditionalFormatting sqref="B7">
    <cfRule type="expression" dxfId="7" priority="1">
      <formula>$D7="Forecast"</formula>
    </cfRule>
    <cfRule type="expression" dxfId="6" priority="2">
      <formula>$D7="Submitted"</formula>
    </cfRule>
    <cfRule type="expression" dxfId="5" priority="3">
      <formula>$D7="Withdrawn"</formula>
    </cfRule>
    <cfRule type="expression" dxfId="4" priority="4">
      <formula>$D7="Rejected"</formula>
    </cfRule>
    <cfRule type="expression" dxfId="3" priority="5">
      <formula>$D7="Approved"</formula>
    </cfRule>
  </conditionalFormatting>
  <conditionalFormatting sqref="B7:C12">
    <cfRule type="cellIs" dxfId="2" priority="6" operator="lessThan">
      <formula>0</formula>
    </cfRule>
  </conditionalFormatting>
  <conditionalFormatting sqref="C7:F12 A7:A12 A13:F17">
    <cfRule type="expression" dxfId="1" priority="10">
      <formula>$D7="Forecast"</formula>
    </cfRule>
  </conditionalFormatting>
  <conditionalFormatting sqref="D7:D9">
    <cfRule type="colorScale" priority="9">
      <colorScale>
        <cfvo type="min"/>
        <cfvo type="max"/>
        <color rgb="FFFF7128"/>
        <color rgb="FFFFEF9C"/>
      </colorScale>
    </cfRule>
  </conditionalFormatting>
  <conditionalFormatting sqref="D10:D17">
    <cfRule type="colorScale" priority="64">
      <colorScale>
        <cfvo type="min"/>
        <cfvo type="max"/>
        <color rgb="FFFF7128"/>
        <color rgb="FFFFEF9C"/>
      </colorScale>
    </cfRule>
  </conditionalFormatting>
  <conditionalFormatting sqref="E6:E17">
    <cfRule type="cellIs" dxfId="0" priority="7" operator="lessThan">
      <formula>0</formula>
    </cfRule>
  </conditionalFormatting>
  <dataValidations count="1">
    <dataValidation type="list" allowBlank="1" showInputMessage="1" showErrorMessage="1" sqref="D7:D17" xr:uid="{00000000-0002-0000-0200-000000000000}">
      <formula1>$H$7:$H$11</formula1>
    </dataValidation>
  </dataValidations>
  <pageMargins left="0.70866141732283472" right="0.70866141732283472" top="1.5748031496062991" bottom="0.74803149606299213" header="0.31496062992125978" footer="0.31496062992125978"/>
  <pageSetup paperSize="9" scale="87" fitToHeight="0" orientation="landscape" r:id="rId1"/>
  <headerFooter>
    <oddHeader>&amp;R&amp;G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Project Summary</vt:lpstr>
      <vt:lpstr>Invoices</vt:lpstr>
      <vt:lpstr>Variations</vt:lpstr>
      <vt:lpstr>Co_Role</vt:lpstr>
      <vt:lpstr>Invoices!Print_Area</vt:lpstr>
      <vt:lpstr>'Project Summary'!Print_Area</vt:lpstr>
      <vt:lpstr>Variations!Print_Area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EngineRoom4 EngineRoom4</dc:creator>
  <cp:lastModifiedBy>Ben Clifton</cp:lastModifiedBy>
  <cp:lastPrinted>2026-05-22T00:43:53Z</cp:lastPrinted>
  <dcterms:created xsi:type="dcterms:W3CDTF">2015-08-12T23:59:52Z</dcterms:created>
  <dcterms:modified xsi:type="dcterms:W3CDTF">2026-05-22T05:36:02Z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0x010100F1DA54CD1DBC6B4597E3DBD5BAD7DAEA</vt:lpwstr>
  </property>
  <property fmtid="{D5CDD505-2E9C-101B-9397-08002B2CF9AE}" pid="3" name="MediaServiceImageTags">
    <vt:lpwstr/>
  </property>
</Properties>
</file>