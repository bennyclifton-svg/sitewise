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Variation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mmm\ yy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3" fontId="0" fillId="0" borderId="1" pivotButton="0" quotePrefix="0" xfId="0"/>
    <xf numFmtId="0" fontId="4" fillId="4" borderId="0" pivotButton="0" quotePrefix="0" xfId="0"/>
    <xf numFmtId="3" fontId="4" fillId="4" borderId="2" pivotButton="0" quotePrefix="0" xfId="0"/>
    <xf numFmtId="3" fontId="4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0" fontId="1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/>
    </xf>
    <xf numFmtId="1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</cols>
  <sheetData>
    <row r="1" ht="21" customHeight="1">
      <c r="A1" s="1" t="inlineStr">
        <is>
          <t>Project Cost Plan - Residential House Template</t>
        </is>
      </c>
    </row>
    <row r="2" ht="19" customHeight="1">
      <c r="A2" s="2" t="inlineStr">
        <is>
          <t>Reusable residential house cost framework</t>
        </is>
      </c>
    </row>
    <row r="3">
      <c r="A3" s="3" t="inlineStr">
        <is>
          <t>02-skills/systems/Cost_Plan_vNN.xlsx</t>
        </is>
      </c>
    </row>
    <row r="4">
      <c r="A4" s="3" t="inlineStr">
        <is>
          <t>All figures exclude GST | Framework adapted from L09-House-Price.xlsx</t>
        </is>
      </c>
    </row>
    <row r="5">
      <c r="K5" s="16" t="n">
        <v>46172</v>
      </c>
    </row>
    <row r="6" ht="30" customHeight="1">
      <c r="A6" s="5" t="inlineStr">
        <is>
          <t>Cost Code</t>
        </is>
      </c>
      <c r="B6" s="5" t="inlineStr">
        <is>
          <t>Category</t>
        </is>
      </c>
      <c r="C6" s="5" t="inlineStr">
        <is>
          <t>Cost Items</t>
        </is>
      </c>
      <c r="D6" s="5" t="inlineStr">
        <is>
          <t>Budget</t>
        </is>
      </c>
      <c r="E6" s="5" t="inlineStr">
        <is>
          <t>Approved Contract</t>
        </is>
      </c>
      <c r="F6" s="5" t="inlineStr">
        <is>
          <t>Forecast</t>
        </is>
      </c>
      <c r="G6" s="5" t="inlineStr">
        <is>
          <t>Approved Variations</t>
        </is>
      </c>
      <c r="H6" s="5" t="inlineStr">
        <is>
          <t>Forecast Final Cost</t>
        </is>
      </c>
      <c r="I6" s="5" t="inlineStr">
        <is>
          <t>Budget Variance</t>
        </is>
      </c>
      <c r="J6" s="5" t="inlineStr">
        <is>
          <t>Claimed to Date</t>
        </is>
      </c>
      <c r="K6" s="5" t="inlineStr">
        <is>
          <t>This Month</t>
        </is>
      </c>
      <c r="L6" s="5" t="inlineStr">
        <is>
          <t>Remaining</t>
        </is>
      </c>
    </row>
    <row r="7">
      <c r="A7" s="6" t="inlineStr">
        <is>
          <t>1.1</t>
        </is>
      </c>
      <c r="B7" s="6" t="inlineStr">
        <is>
          <t>Fees and charges</t>
        </is>
      </c>
      <c r="C7" s="6" t="inlineStr">
        <is>
          <t>AUTHORITIES FEES</t>
        </is>
      </c>
      <c r="D7" s="7" t="n">
        <v>3788.13</v>
      </c>
      <c r="E7" s="7" t="n">
        <v>0</v>
      </c>
      <c r="F7" s="8">
        <f>SUMIF(Variations!$B$5:$B$500,C7,Variations!$G$5:$G$500)</f>
        <v/>
      </c>
      <c r="G7" s="8">
        <f>SUMIF(Variations!$B$5:$B$500,C7,Variations!$G$5:$G$500)</f>
        <v/>
      </c>
      <c r="H7" s="8">
        <f>SUM(E7:G7)</f>
        <v/>
      </c>
      <c r="I7" s="8">
        <f>D7-H7</f>
        <v/>
      </c>
      <c r="J7" s="8">
        <f>SUMIF(Invoices!$E$5:$E$500,C7,Invoices!$F$5:$F$500)</f>
        <v/>
      </c>
      <c r="K7" s="8">
        <f>SUMIFS(Invoices!$F$5:$F$500,Invoices!$A$5:$A$500,"&gt;="&amp;K$5,Invoices!$A$5:$A$500,"&lt;"&amp;EDATE(K$5,1),Invoices!$E$5:$E$500,C7)</f>
        <v/>
      </c>
      <c r="L7" s="8">
        <f>D7-J7</f>
        <v/>
      </c>
    </row>
    <row r="8">
      <c r="A8" s="6" t="inlineStr">
        <is>
          <t>1.3</t>
        </is>
      </c>
      <c r="B8" s="6" t="inlineStr">
        <is>
          <t>Fees and charges</t>
        </is>
      </c>
      <c r="C8" s="6" t="inlineStr">
        <is>
          <t>HOW &amp; LSL</t>
        </is>
      </c>
      <c r="D8" s="7" t="n">
        <v>10011.48</v>
      </c>
      <c r="E8" s="7" t="n">
        <v>0</v>
      </c>
      <c r="F8" s="8">
        <f>SUMIF(Variations!$B$5:$B$500,C8,Variations!$G$5:$G$500)</f>
        <v/>
      </c>
      <c r="G8" s="8">
        <f>SUMIF(Variations!$B$5:$B$500,C8,Variations!$G$5:$G$500)</f>
        <v/>
      </c>
      <c r="H8" s="8">
        <f>SUM(E8:G8)</f>
        <v/>
      </c>
      <c r="I8" s="8">
        <f>D8-H8</f>
        <v/>
      </c>
      <c r="J8" s="8">
        <f>SUMIF(Invoices!$E$5:$E$500,C8,Invoices!$F$5:$F$500)</f>
        <v/>
      </c>
      <c r="K8" s="8">
        <f>SUMIFS(Invoices!$F$5:$F$500,Invoices!$A$5:$A$500,"&gt;="&amp;K$5,Invoices!$A$5:$A$500,"&lt;"&amp;EDATE(K$5,1),Invoices!$E$5:$E$500,C8)</f>
        <v/>
      </c>
      <c r="L8" s="8">
        <f>D8-J8</f>
        <v/>
      </c>
    </row>
    <row r="9">
      <c r="C9" s="9" t="inlineStr">
        <is>
          <t>SUBTOTAL - Fees and charges</t>
        </is>
      </c>
      <c r="D9" s="10">
        <f>SUM(D7:D8)</f>
        <v/>
      </c>
      <c r="E9" s="10">
        <f>SUM(E7:E8)</f>
        <v/>
      </c>
      <c r="F9" s="10">
        <f>SUM(F7:F8)</f>
        <v/>
      </c>
      <c r="G9" s="10">
        <f>SUM(G7:G8)</f>
        <v/>
      </c>
      <c r="H9" s="10">
        <f>SUM(H7:H8)</f>
        <v/>
      </c>
      <c r="I9" s="10">
        <f>SUM(I7:I8)</f>
        <v/>
      </c>
      <c r="J9" s="10">
        <f>SUM(J7:J8)</f>
        <v/>
      </c>
      <c r="K9" s="10">
        <f>SUM(K7:K8)</f>
        <v/>
      </c>
      <c r="L9" s="10">
        <f>SUM(L7:L8)</f>
        <v/>
      </c>
    </row>
    <row r="10"/>
    <row r="11">
      <c r="A11" s="6" t="inlineStr">
        <is>
          <t>1.2</t>
        </is>
      </c>
      <c r="B11" s="6" t="inlineStr">
        <is>
          <t>Consultants</t>
        </is>
      </c>
      <c r="C11" s="6" t="inlineStr">
        <is>
          <t>CONSULTANTS</t>
        </is>
      </c>
      <c r="D11" s="7" t="n">
        <v>1352.9</v>
      </c>
      <c r="E11" s="7" t="n">
        <v>0</v>
      </c>
      <c r="F11" s="8">
        <f>SUMIF(Variations!$B$5:$B$500,C11,Variations!$G$5:$G$500)</f>
        <v/>
      </c>
      <c r="G11" s="8">
        <f>SUMIF(Variations!$B$5:$B$500,C11,Variations!$G$5:$G$500)</f>
        <v/>
      </c>
      <c r="H11" s="8">
        <f>SUM(E11:G11)</f>
        <v/>
      </c>
      <c r="I11" s="8">
        <f>D11-H11</f>
        <v/>
      </c>
      <c r="J11" s="8">
        <f>SUMIF(Invoices!$E$5:$E$500,C11,Invoices!$F$5:$F$500)</f>
        <v/>
      </c>
      <c r="K11" s="8">
        <f>SUMIFS(Invoices!$F$5:$F$500,Invoices!$A$5:$A$500,"&gt;="&amp;K$5,Invoices!$A$5:$A$500,"&lt;"&amp;EDATE(K$5,1),Invoices!$E$5:$E$500,C11)</f>
        <v/>
      </c>
      <c r="L11" s="8">
        <f>D11-J11</f>
        <v/>
      </c>
    </row>
    <row r="12">
      <c r="A12" s="6" t="inlineStr">
        <is>
          <t>2.1</t>
        </is>
      </c>
      <c r="B12" s="6" t="inlineStr">
        <is>
          <t>Consultants</t>
        </is>
      </c>
      <c r="C12" s="6" t="inlineStr">
        <is>
          <t>SURVEYORS</t>
        </is>
      </c>
      <c r="D12" s="7" t="n">
        <v>4230.34</v>
      </c>
      <c r="E12" s="7" t="n">
        <v>0</v>
      </c>
      <c r="F12" s="8">
        <f>SUMIF(Variations!$B$5:$B$500,C12,Variations!$G$5:$G$500)</f>
        <v/>
      </c>
      <c r="G12" s="8">
        <f>SUMIF(Variations!$B$5:$B$500,C12,Variations!$G$5:$G$500)</f>
        <v/>
      </c>
      <c r="H12" s="8">
        <f>SUM(E12:G12)</f>
        <v/>
      </c>
      <c r="I12" s="8">
        <f>D12-H12</f>
        <v/>
      </c>
      <c r="J12" s="8">
        <f>SUMIF(Invoices!$E$5:$E$500,C12,Invoices!$F$5:$F$500)</f>
        <v/>
      </c>
      <c r="K12" s="8">
        <f>SUMIFS(Invoices!$F$5:$F$500,Invoices!$A$5:$A$500,"&gt;="&amp;K$5,Invoices!$A$5:$A$500,"&lt;"&amp;EDATE(K$5,1),Invoices!$E$5:$E$500,C12)</f>
        <v/>
      </c>
      <c r="L12" s="8">
        <f>D12-J12</f>
        <v/>
      </c>
    </row>
    <row r="13">
      <c r="C13" s="9" t="inlineStr">
        <is>
          <t>SUBTOTAL - Consultants</t>
        </is>
      </c>
      <c r="D13" s="10">
        <f>SUM(D11:D12)</f>
        <v/>
      </c>
      <c r="E13" s="10">
        <f>SUM(E11:E12)</f>
        <v/>
      </c>
      <c r="F13" s="10">
        <f>SUM(F11:F12)</f>
        <v/>
      </c>
      <c r="G13" s="10">
        <f>SUM(G11:G12)</f>
        <v/>
      </c>
      <c r="H13" s="10">
        <f>SUM(H11:H12)</f>
        <v/>
      </c>
      <c r="I13" s="10">
        <f>SUM(I11:I12)</f>
        <v/>
      </c>
      <c r="J13" s="10">
        <f>SUM(J11:J12)</f>
        <v/>
      </c>
      <c r="K13" s="10">
        <f>SUM(K11:K12)</f>
        <v/>
      </c>
      <c r="L13" s="10">
        <f>SUM(L11:L12)</f>
        <v/>
      </c>
    </row>
    <row r="14"/>
    <row r="15">
      <c r="A15" s="6" t="inlineStr">
        <is>
          <t>1.4</t>
        </is>
      </c>
      <c r="B15" s="6" t="inlineStr">
        <is>
          <t>Construction</t>
        </is>
      </c>
      <c r="C15" s="6" t="inlineStr">
        <is>
          <t>TEMP SERVICES (SITE AMMENITIES)</t>
        </is>
      </c>
      <c r="D15" s="7" t="n">
        <v>3246.97</v>
      </c>
      <c r="E15" s="7" t="n">
        <v>0</v>
      </c>
      <c r="F15" s="8">
        <f>SUMIF(Variations!$B$5:$B$500,C15,Variations!$G$5:$G$500)</f>
        <v/>
      </c>
      <c r="G15" s="8">
        <f>SUMIF(Variations!$B$5:$B$500,C15,Variations!$G$5:$G$500)</f>
        <v/>
      </c>
      <c r="H15" s="8">
        <f>SUM(E15:G15)</f>
        <v/>
      </c>
      <c r="I15" s="8">
        <f>D15-H15</f>
        <v/>
      </c>
      <c r="J15" s="8">
        <f>SUMIF(Invoices!$E$5:$E$500,C15,Invoices!$F$5:$F$500)</f>
        <v/>
      </c>
      <c r="K15" s="8">
        <f>SUMIFS(Invoices!$F$5:$F$500,Invoices!$A$5:$A$500,"&gt;="&amp;K$5,Invoices!$A$5:$A$500,"&lt;"&amp;EDATE(K$5,1),Invoices!$E$5:$E$500,C15)</f>
        <v/>
      </c>
      <c r="L15" s="8">
        <f>D15-J15</f>
        <v/>
      </c>
    </row>
    <row r="16">
      <c r="A16" s="6" t="inlineStr">
        <is>
          <t>1.5</t>
        </is>
      </c>
      <c r="B16" s="6" t="inlineStr">
        <is>
          <t>Construction</t>
        </is>
      </c>
      <c r="C16" s="6" t="inlineStr">
        <is>
          <t>SUPERVISION</t>
        </is>
      </c>
      <c r="D16" s="7" t="n">
        <v>16234.84</v>
      </c>
      <c r="E16" s="7" t="n">
        <v>0</v>
      </c>
      <c r="F16" s="8">
        <f>SUMIF(Variations!$B$5:$B$500,C16,Variations!$G$5:$G$500)</f>
        <v/>
      </c>
      <c r="G16" s="8">
        <f>SUMIF(Variations!$B$5:$B$500,C16,Variations!$G$5:$G$500)</f>
        <v/>
      </c>
      <c r="H16" s="8">
        <f>SUM(E16:G16)</f>
        <v/>
      </c>
      <c r="I16" s="8">
        <f>D16-H16</f>
        <v/>
      </c>
      <c r="J16" s="8">
        <f>SUMIF(Invoices!$E$5:$E$500,C16,Invoices!$F$5:$F$500)</f>
        <v/>
      </c>
      <c r="K16" s="8">
        <f>SUMIFS(Invoices!$F$5:$F$500,Invoices!$A$5:$A$500,"&gt;="&amp;K$5,Invoices!$A$5:$A$500,"&lt;"&amp;EDATE(K$5,1),Invoices!$E$5:$E$500,C16)</f>
        <v/>
      </c>
      <c r="L16" s="8">
        <f>D16-J16</f>
        <v/>
      </c>
    </row>
    <row r="17">
      <c r="A17" s="6" t="inlineStr">
        <is>
          <t>2.2</t>
        </is>
      </c>
      <c r="B17" s="6" t="inlineStr">
        <is>
          <t>Construction</t>
        </is>
      </c>
      <c r="C17" s="6" t="inlineStr">
        <is>
          <t>EARTHWORKS</t>
        </is>
      </c>
      <c r="D17" s="7" t="n">
        <v>10293.76</v>
      </c>
      <c r="E17" s="7" t="n">
        <v>0</v>
      </c>
      <c r="F17" s="8">
        <f>SUMIF(Variations!$B$5:$B$500,C17,Variations!$G$5:$G$500)</f>
        <v/>
      </c>
      <c r="G17" s="8">
        <f>SUMIF(Variations!$B$5:$B$500,C17,Variations!$G$5:$G$500)</f>
        <v/>
      </c>
      <c r="H17" s="8">
        <f>SUM(E17:G17)</f>
        <v/>
      </c>
      <c r="I17" s="8">
        <f>D17-H17</f>
        <v/>
      </c>
      <c r="J17" s="8">
        <f>SUMIF(Invoices!$E$5:$E$500,C17,Invoices!$F$5:$F$500)</f>
        <v/>
      </c>
      <c r="K17" s="8">
        <f>SUMIFS(Invoices!$F$5:$F$500,Invoices!$A$5:$A$500,"&gt;="&amp;K$5,Invoices!$A$5:$A$500,"&lt;"&amp;EDATE(K$5,1),Invoices!$E$5:$E$500,C17)</f>
        <v/>
      </c>
      <c r="L17" s="8">
        <f>D17-J17</f>
        <v/>
      </c>
    </row>
    <row r="18">
      <c r="A18" s="6" t="inlineStr">
        <is>
          <t>2.3</t>
        </is>
      </c>
      <c r="B18" s="6" t="inlineStr">
        <is>
          <t>Construction</t>
        </is>
      </c>
      <c r="C18" s="6" t="inlineStr">
        <is>
          <t>TERMITE TREATMENT</t>
        </is>
      </c>
      <c r="D18" s="7" t="n">
        <v>979.6900000000001</v>
      </c>
      <c r="E18" s="7" t="n">
        <v>0</v>
      </c>
      <c r="F18" s="8">
        <f>SUMIF(Variations!$B$5:$B$500,C18,Variations!$G$5:$G$500)</f>
        <v/>
      </c>
      <c r="G18" s="8">
        <f>SUMIF(Variations!$B$5:$B$500,C18,Variations!$G$5:$G$500)</f>
        <v/>
      </c>
      <c r="H18" s="8">
        <f>SUM(E18:G18)</f>
        <v/>
      </c>
      <c r="I18" s="8">
        <f>D18-H18</f>
        <v/>
      </c>
      <c r="J18" s="8">
        <f>SUMIF(Invoices!$E$5:$E$500,C18,Invoices!$F$5:$F$500)</f>
        <v/>
      </c>
      <c r="K18" s="8">
        <f>SUMIFS(Invoices!$F$5:$F$500,Invoices!$A$5:$A$500,"&gt;="&amp;K$5,Invoices!$A$5:$A$500,"&lt;"&amp;EDATE(K$5,1),Invoices!$E$5:$E$500,C18)</f>
        <v/>
      </c>
      <c r="L18" s="8">
        <f>D18-J18</f>
        <v/>
      </c>
    </row>
    <row r="19">
      <c r="A19" s="6" t="inlineStr">
        <is>
          <t>3.1</t>
        </is>
      </c>
      <c r="B19" s="6" t="inlineStr">
        <is>
          <t>Construction</t>
        </is>
      </c>
      <c r="C19" s="6" t="inlineStr">
        <is>
          <t>FOUNDATION PIERS</t>
        </is>
      </c>
      <c r="D19" s="7" t="n">
        <v>18083.2</v>
      </c>
      <c r="E19" s="7" t="n">
        <v>0</v>
      </c>
      <c r="F19" s="8">
        <f>SUMIF(Variations!$B$5:$B$500,C19,Variations!$G$5:$G$500)</f>
        <v/>
      </c>
      <c r="G19" s="8">
        <f>SUMIF(Variations!$B$5:$B$500,C19,Variations!$G$5:$G$500)</f>
        <v/>
      </c>
      <c r="H19" s="8">
        <f>SUM(E19:G19)</f>
        <v/>
      </c>
      <c r="I19" s="8">
        <f>D19-H19</f>
        <v/>
      </c>
      <c r="J19" s="8">
        <f>SUMIF(Invoices!$E$5:$E$500,C19,Invoices!$F$5:$F$500)</f>
        <v/>
      </c>
      <c r="K19" s="8">
        <f>SUMIFS(Invoices!$F$5:$F$500,Invoices!$A$5:$A$500,"&gt;="&amp;K$5,Invoices!$A$5:$A$500,"&lt;"&amp;EDATE(K$5,1),Invoices!$E$5:$E$500,C19)</f>
        <v/>
      </c>
      <c r="L19" s="8">
        <f>D19-J19</f>
        <v/>
      </c>
    </row>
    <row r="20">
      <c r="A20" s="6" t="inlineStr">
        <is>
          <t>3.2</t>
        </is>
      </c>
      <c r="B20" s="6" t="inlineStr">
        <is>
          <t>Construction</t>
        </is>
      </c>
      <c r="C20" s="6" t="inlineStr">
        <is>
          <t>CONCRETE WORKS</t>
        </is>
      </c>
      <c r="D20" s="7" t="n">
        <v>35427.81</v>
      </c>
      <c r="E20" s="7" t="n">
        <v>0</v>
      </c>
      <c r="F20" s="8">
        <f>SUMIF(Variations!$B$5:$B$500,C20,Variations!$G$5:$G$500)</f>
        <v/>
      </c>
      <c r="G20" s="8">
        <f>SUMIF(Variations!$B$5:$B$500,C20,Variations!$G$5:$G$500)</f>
        <v/>
      </c>
      <c r="H20" s="8">
        <f>SUM(E20:G20)</f>
        <v/>
      </c>
      <c r="I20" s="8">
        <f>D20-H20</f>
        <v/>
      </c>
      <c r="J20" s="8">
        <f>SUMIF(Invoices!$E$5:$E$500,C20,Invoices!$F$5:$F$500)</f>
        <v/>
      </c>
      <c r="K20" s="8">
        <f>SUMIFS(Invoices!$F$5:$F$500,Invoices!$A$5:$A$500,"&gt;="&amp;K$5,Invoices!$A$5:$A$500,"&lt;"&amp;EDATE(K$5,1),Invoices!$E$5:$E$500,C20)</f>
        <v/>
      </c>
      <c r="L20" s="8">
        <f>D20-J20</f>
        <v/>
      </c>
    </row>
    <row r="21">
      <c r="A21" s="6" t="inlineStr">
        <is>
          <t>4.1</t>
        </is>
      </c>
      <c r="B21" s="6" t="inlineStr">
        <is>
          <t>Construction</t>
        </is>
      </c>
      <c r="C21" s="6" t="inlineStr">
        <is>
          <t>WALL FRAMING &amp; ROOF TRUSSES</t>
        </is>
      </c>
      <c r="D21" s="7" t="n">
        <v>58566.18</v>
      </c>
      <c r="E21" s="7" t="n">
        <v>0</v>
      </c>
      <c r="F21" s="8">
        <f>SUMIF(Variations!$B$5:$B$500,C21,Variations!$G$5:$G$500)</f>
        <v/>
      </c>
      <c r="G21" s="8">
        <f>SUMIF(Variations!$B$5:$B$500,C21,Variations!$G$5:$G$500)</f>
        <v/>
      </c>
      <c r="H21" s="8">
        <f>SUM(E21:G21)</f>
        <v/>
      </c>
      <c r="I21" s="8">
        <f>D21-H21</f>
        <v/>
      </c>
      <c r="J21" s="8">
        <f>SUMIF(Invoices!$E$5:$E$500,C21,Invoices!$F$5:$F$500)</f>
        <v/>
      </c>
      <c r="K21" s="8">
        <f>SUMIFS(Invoices!$F$5:$F$500,Invoices!$A$5:$A$500,"&gt;="&amp;K$5,Invoices!$A$5:$A$500,"&lt;"&amp;EDATE(K$5,1),Invoices!$E$5:$E$500,C21)</f>
        <v/>
      </c>
      <c r="L21" s="8">
        <f>D21-J21</f>
        <v/>
      </c>
    </row>
    <row r="22">
      <c r="A22" s="6" t="inlineStr">
        <is>
          <t>4.2</t>
        </is>
      </c>
      <c r="B22" s="6" t="inlineStr">
        <is>
          <t>Construction</t>
        </is>
      </c>
      <c r="C22" s="6" t="inlineStr">
        <is>
          <t>STRUCTURAL STEEL</t>
        </is>
      </c>
      <c r="D22" s="7" t="n">
        <v>7754.19</v>
      </c>
      <c r="E22" s="7" t="n">
        <v>0</v>
      </c>
      <c r="F22" s="8">
        <f>SUMIF(Variations!$B$5:$B$500,C22,Variations!$G$5:$G$500)</f>
        <v/>
      </c>
      <c r="G22" s="8">
        <f>SUMIF(Variations!$B$5:$B$500,C22,Variations!$G$5:$G$500)</f>
        <v/>
      </c>
      <c r="H22" s="8">
        <f>SUM(E22:G22)</f>
        <v/>
      </c>
      <c r="I22" s="8">
        <f>D22-H22</f>
        <v/>
      </c>
      <c r="J22" s="8">
        <f>SUMIF(Invoices!$E$5:$E$500,C22,Invoices!$F$5:$F$500)</f>
        <v/>
      </c>
      <c r="K22" s="8">
        <f>SUMIFS(Invoices!$F$5:$F$500,Invoices!$A$5:$A$500,"&gt;="&amp;K$5,Invoices!$A$5:$A$500,"&lt;"&amp;EDATE(K$5,1),Invoices!$E$5:$E$500,C22)</f>
        <v/>
      </c>
      <c r="L22" s="8">
        <f>D22-J22</f>
        <v/>
      </c>
    </row>
    <row r="23">
      <c r="A23" s="6" t="inlineStr">
        <is>
          <t>4.3</t>
        </is>
      </c>
      <c r="B23" s="6" t="inlineStr">
        <is>
          <t>Construction</t>
        </is>
      </c>
      <c r="C23" s="6" t="inlineStr">
        <is>
          <t>MOBILE CRANE HIRE</t>
        </is>
      </c>
      <c r="D23" s="7" t="n">
        <v>4041.96</v>
      </c>
      <c r="E23" s="7" t="n">
        <v>0</v>
      </c>
      <c r="F23" s="8">
        <f>SUMIF(Variations!$B$5:$B$500,C23,Variations!$G$5:$G$500)</f>
        <v/>
      </c>
      <c r="G23" s="8">
        <f>SUMIF(Variations!$B$5:$B$500,C23,Variations!$G$5:$G$500)</f>
        <v/>
      </c>
      <c r="H23" s="8">
        <f>SUM(E23:G23)</f>
        <v/>
      </c>
      <c r="I23" s="8">
        <f>D23-H23</f>
        <v/>
      </c>
      <c r="J23" s="8">
        <f>SUMIF(Invoices!$E$5:$E$500,C23,Invoices!$F$5:$F$500)</f>
        <v/>
      </c>
      <c r="K23" s="8">
        <f>SUMIFS(Invoices!$F$5:$F$500,Invoices!$A$5:$A$500,"&gt;="&amp;K$5,Invoices!$A$5:$A$500,"&lt;"&amp;EDATE(K$5,1),Invoices!$E$5:$E$500,C23)</f>
        <v/>
      </c>
      <c r="L23" s="8">
        <f>D23-J23</f>
        <v/>
      </c>
    </row>
    <row r="24">
      <c r="A24" s="6" t="inlineStr">
        <is>
          <t>4.4</t>
        </is>
      </c>
      <c r="B24" s="6" t="inlineStr">
        <is>
          <t>Construction</t>
        </is>
      </c>
      <c r="C24" s="6" t="inlineStr">
        <is>
          <t>WINDOW SUPPLY</t>
        </is>
      </c>
      <c r="D24" s="7" t="n">
        <v>19710.84</v>
      </c>
      <c r="E24" s="7" t="n">
        <v>0</v>
      </c>
      <c r="F24" s="8">
        <f>SUMIF(Variations!$B$5:$B$500,C24,Variations!$G$5:$G$500)</f>
        <v/>
      </c>
      <c r="G24" s="8">
        <f>SUMIF(Variations!$B$5:$B$500,C24,Variations!$G$5:$G$500)</f>
        <v/>
      </c>
      <c r="H24" s="8">
        <f>SUM(E24:G24)</f>
        <v/>
      </c>
      <c r="I24" s="8">
        <f>D24-H24</f>
        <v/>
      </c>
      <c r="J24" s="8">
        <f>SUMIF(Invoices!$E$5:$E$500,C24,Invoices!$F$5:$F$500)</f>
        <v/>
      </c>
      <c r="K24" s="8">
        <f>SUMIFS(Invoices!$F$5:$F$500,Invoices!$A$5:$A$500,"&gt;="&amp;K$5,Invoices!$A$5:$A$500,"&lt;"&amp;EDATE(K$5,1),Invoices!$E$5:$E$500,C24)</f>
        <v/>
      </c>
      <c r="L24" s="8">
        <f>D24-J24</f>
        <v/>
      </c>
    </row>
    <row r="25">
      <c r="A25" s="6" t="inlineStr">
        <is>
          <t>4.5</t>
        </is>
      </c>
      <c r="B25" s="6" t="inlineStr">
        <is>
          <t>Construction</t>
        </is>
      </c>
      <c r="C25" s="6" t="inlineStr">
        <is>
          <t>MASONRY</t>
        </is>
      </c>
      <c r="D25" s="7" t="n">
        <v>31879.77</v>
      </c>
      <c r="E25" s="7" t="n">
        <v>0</v>
      </c>
      <c r="F25" s="8">
        <f>SUMIF(Variations!$B$5:$B$500,C25,Variations!$G$5:$G$500)</f>
        <v/>
      </c>
      <c r="G25" s="8">
        <f>SUMIF(Variations!$B$5:$B$500,C25,Variations!$G$5:$G$500)</f>
        <v/>
      </c>
      <c r="H25" s="8">
        <f>SUM(E25:G25)</f>
        <v/>
      </c>
      <c r="I25" s="8">
        <f>D25-H25</f>
        <v/>
      </c>
      <c r="J25" s="8">
        <f>SUMIF(Invoices!$E$5:$E$500,C25,Invoices!$F$5:$F$500)</f>
        <v/>
      </c>
      <c r="K25" s="8">
        <f>SUMIFS(Invoices!$F$5:$F$500,Invoices!$A$5:$A$500,"&gt;="&amp;K$5,Invoices!$A$5:$A$500,"&lt;"&amp;EDATE(K$5,1),Invoices!$E$5:$E$500,C25)</f>
        <v/>
      </c>
      <c r="L25" s="8">
        <f>D25-J25</f>
        <v/>
      </c>
    </row>
    <row r="26">
      <c r="A26" s="6" t="inlineStr">
        <is>
          <t>4.6</t>
        </is>
      </c>
      <c r="B26" s="6" t="inlineStr">
        <is>
          <t>Construction</t>
        </is>
      </c>
      <c r="C26" s="6" t="inlineStr">
        <is>
          <t>SCAFFOLDING</t>
        </is>
      </c>
      <c r="D26" s="7" t="n">
        <v>16899.88</v>
      </c>
      <c r="E26" s="7" t="n">
        <v>0</v>
      </c>
      <c r="F26" s="8">
        <f>SUMIF(Variations!$B$5:$B$500,C26,Variations!$G$5:$G$500)</f>
        <v/>
      </c>
      <c r="G26" s="8">
        <f>SUMIF(Variations!$B$5:$B$500,C26,Variations!$G$5:$G$500)</f>
        <v/>
      </c>
      <c r="H26" s="8">
        <f>SUM(E26:G26)</f>
        <v/>
      </c>
      <c r="I26" s="8">
        <f>D26-H26</f>
        <v/>
      </c>
      <c r="J26" s="8">
        <f>SUMIF(Invoices!$E$5:$E$500,C26,Invoices!$F$5:$F$500)</f>
        <v/>
      </c>
      <c r="K26" s="8">
        <f>SUMIFS(Invoices!$F$5:$F$500,Invoices!$A$5:$A$500,"&gt;="&amp;K$5,Invoices!$A$5:$A$500,"&lt;"&amp;EDATE(K$5,1),Invoices!$E$5:$E$500,C26)</f>
        <v/>
      </c>
      <c r="L26" s="8">
        <f>D26-J26</f>
        <v/>
      </c>
    </row>
    <row r="27">
      <c r="A27" s="6" t="inlineStr">
        <is>
          <t>4.7</t>
        </is>
      </c>
      <c r="B27" s="6" t="inlineStr">
        <is>
          <t>Construction</t>
        </is>
      </c>
      <c r="C27" s="6" t="inlineStr">
        <is>
          <t>ROOF RAIL PROTECTION</t>
        </is>
      </c>
      <c r="D27" s="7" t="n">
        <v>2042.56</v>
      </c>
      <c r="E27" s="7" t="n">
        <v>0</v>
      </c>
      <c r="F27" s="8">
        <f>SUMIF(Variations!$B$5:$B$500,C27,Variations!$G$5:$G$500)</f>
        <v/>
      </c>
      <c r="G27" s="8">
        <f>SUMIF(Variations!$B$5:$B$500,C27,Variations!$G$5:$G$500)</f>
        <v/>
      </c>
      <c r="H27" s="8">
        <f>SUM(E27:G27)</f>
        <v/>
      </c>
      <c r="I27" s="8">
        <f>D27-H27</f>
        <v/>
      </c>
      <c r="J27" s="8">
        <f>SUMIF(Invoices!$E$5:$E$500,C27,Invoices!$F$5:$F$500)</f>
        <v/>
      </c>
      <c r="K27" s="8">
        <f>SUMIFS(Invoices!$F$5:$F$500,Invoices!$A$5:$A$500,"&gt;="&amp;K$5,Invoices!$A$5:$A$500,"&lt;"&amp;EDATE(K$5,1),Invoices!$E$5:$E$500,C27)</f>
        <v/>
      </c>
      <c r="L27" s="8">
        <f>D27-J27</f>
        <v/>
      </c>
    </row>
    <row r="28">
      <c r="A28" s="6" t="inlineStr">
        <is>
          <t>4.8</t>
        </is>
      </c>
      <c r="B28" s="6" t="inlineStr">
        <is>
          <t>Construction</t>
        </is>
      </c>
      <c r="C28" s="6" t="inlineStr">
        <is>
          <t>ROOFING</t>
        </is>
      </c>
      <c r="D28" s="7" t="n">
        <v>19428.33</v>
      </c>
      <c r="E28" s="7" t="n">
        <v>0</v>
      </c>
      <c r="F28" s="8">
        <f>SUMIF(Variations!$B$5:$B$500,C28,Variations!$G$5:$G$500)</f>
        <v/>
      </c>
      <c r="G28" s="8">
        <f>SUMIF(Variations!$B$5:$B$500,C28,Variations!$G$5:$G$500)</f>
        <v/>
      </c>
      <c r="H28" s="8">
        <f>SUM(E28:G28)</f>
        <v/>
      </c>
      <c r="I28" s="8">
        <f>D28-H28</f>
        <v/>
      </c>
      <c r="J28" s="8">
        <f>SUMIF(Invoices!$E$5:$E$500,C28,Invoices!$F$5:$F$500)</f>
        <v/>
      </c>
      <c r="K28" s="8">
        <f>SUMIFS(Invoices!$F$5:$F$500,Invoices!$A$5:$A$500,"&gt;="&amp;K$5,Invoices!$A$5:$A$500,"&lt;"&amp;EDATE(K$5,1),Invoices!$E$5:$E$500,C28)</f>
        <v/>
      </c>
      <c r="L28" s="8">
        <f>D28-J28</f>
        <v/>
      </c>
    </row>
    <row r="29">
      <c r="A29" s="6" t="inlineStr">
        <is>
          <t>4.9</t>
        </is>
      </c>
      <c r="B29" s="6" t="inlineStr">
        <is>
          <t>Construction</t>
        </is>
      </c>
      <c r="C29" s="6" t="inlineStr">
        <is>
          <t>EXTERNAL CLADDING &amp; EAVES SOFFIT</t>
        </is>
      </c>
      <c r="D29" s="7" t="n">
        <v>29208.28</v>
      </c>
      <c r="E29" s="7" t="n">
        <v>0</v>
      </c>
      <c r="F29" s="8">
        <f>SUMIF(Variations!$B$5:$B$500,C29,Variations!$G$5:$G$500)</f>
        <v/>
      </c>
      <c r="G29" s="8">
        <f>SUMIF(Variations!$B$5:$B$500,C29,Variations!$G$5:$G$500)</f>
        <v/>
      </c>
      <c r="H29" s="8">
        <f>SUM(E29:G29)</f>
        <v/>
      </c>
      <c r="I29" s="8">
        <f>D29-H29</f>
        <v/>
      </c>
      <c r="J29" s="8">
        <f>SUMIF(Invoices!$E$5:$E$500,C29,Invoices!$F$5:$F$500)</f>
        <v/>
      </c>
      <c r="K29" s="8">
        <f>SUMIFS(Invoices!$F$5:$F$500,Invoices!$A$5:$A$500,"&gt;="&amp;K$5,Invoices!$A$5:$A$500,"&lt;"&amp;EDATE(K$5,1),Invoices!$E$5:$E$500,C29)</f>
        <v/>
      </c>
      <c r="L29" s="8">
        <f>D29-J29</f>
        <v/>
      </c>
    </row>
    <row r="30">
      <c r="A30" s="6" t="inlineStr">
        <is>
          <t>4.1</t>
        </is>
      </c>
      <c r="B30" s="6" t="inlineStr">
        <is>
          <t>Construction</t>
        </is>
      </c>
      <c r="C30" s="6" t="inlineStr">
        <is>
          <t>LOCKUP</t>
        </is>
      </c>
      <c r="D30" s="7" t="n">
        <v>8737.73</v>
      </c>
      <c r="E30" s="7" t="n">
        <v>0</v>
      </c>
      <c r="F30" s="8">
        <f>SUMIF(Variations!$B$5:$B$500,C30,Variations!$G$5:$G$500)</f>
        <v/>
      </c>
      <c r="G30" s="8">
        <f>SUMIF(Variations!$B$5:$B$500,C30,Variations!$G$5:$G$500)</f>
        <v/>
      </c>
      <c r="H30" s="8">
        <f>SUM(E30:G30)</f>
        <v/>
      </c>
      <c r="I30" s="8">
        <f>D30-H30</f>
        <v/>
      </c>
      <c r="J30" s="8">
        <f>SUMIF(Invoices!$E$5:$E$500,C30,Invoices!$F$5:$F$500)</f>
        <v/>
      </c>
      <c r="K30" s="8">
        <f>SUMIFS(Invoices!$F$5:$F$500,Invoices!$A$5:$A$500,"&gt;="&amp;K$5,Invoices!$A$5:$A$500,"&lt;"&amp;EDATE(K$5,1),Invoices!$E$5:$E$500,C30)</f>
        <v/>
      </c>
      <c r="L30" s="8">
        <f>D30-J30</f>
        <v/>
      </c>
    </row>
    <row r="31">
      <c r="A31" s="6" t="inlineStr">
        <is>
          <t>5.1</t>
        </is>
      </c>
      <c r="B31" s="6" t="inlineStr">
        <is>
          <t>Construction</t>
        </is>
      </c>
      <c r="C31" s="6" t="inlineStr">
        <is>
          <t>INSULATION</t>
        </is>
      </c>
      <c r="D31" s="7" t="n">
        <v>3816.14</v>
      </c>
      <c r="E31" s="7" t="n">
        <v>0</v>
      </c>
      <c r="F31" s="8">
        <f>SUMIF(Variations!$B$5:$B$500,C31,Variations!$G$5:$G$500)</f>
        <v/>
      </c>
      <c r="G31" s="8">
        <f>SUMIF(Variations!$B$5:$B$500,C31,Variations!$G$5:$G$500)</f>
        <v/>
      </c>
      <c r="H31" s="8">
        <f>SUM(E31:G31)</f>
        <v/>
      </c>
      <c r="I31" s="8">
        <f>D31-H31</f>
        <v/>
      </c>
      <c r="J31" s="8">
        <f>SUMIF(Invoices!$E$5:$E$500,C31,Invoices!$F$5:$F$500)</f>
        <v/>
      </c>
      <c r="K31" s="8">
        <f>SUMIFS(Invoices!$F$5:$F$500,Invoices!$A$5:$A$500,"&gt;="&amp;K$5,Invoices!$A$5:$A$500,"&lt;"&amp;EDATE(K$5,1),Invoices!$E$5:$E$500,C31)</f>
        <v/>
      </c>
      <c r="L31" s="8">
        <f>D31-J31</f>
        <v/>
      </c>
    </row>
    <row r="32">
      <c r="A32" s="6" t="inlineStr">
        <is>
          <t>5.2</t>
        </is>
      </c>
      <c r="B32" s="6" t="inlineStr">
        <is>
          <t>Construction</t>
        </is>
      </c>
      <c r="C32" s="6" t="inlineStr">
        <is>
          <t>PLASTERBOARD</t>
        </is>
      </c>
      <c r="D32" s="7" t="n">
        <v>18088.66</v>
      </c>
      <c r="E32" s="7" t="n">
        <v>0</v>
      </c>
      <c r="F32" s="8">
        <f>SUMIF(Variations!$B$5:$B$500,C32,Variations!$G$5:$G$500)</f>
        <v/>
      </c>
      <c r="G32" s="8">
        <f>SUMIF(Variations!$B$5:$B$500,C32,Variations!$G$5:$G$500)</f>
        <v/>
      </c>
      <c r="H32" s="8">
        <f>SUM(E32:G32)</f>
        <v/>
      </c>
      <c r="I32" s="8">
        <f>D32-H32</f>
        <v/>
      </c>
      <c r="J32" s="8">
        <f>SUMIF(Invoices!$E$5:$E$500,C32,Invoices!$F$5:$F$500)</f>
        <v/>
      </c>
      <c r="K32" s="8">
        <f>SUMIFS(Invoices!$F$5:$F$500,Invoices!$A$5:$A$500,"&gt;="&amp;K$5,Invoices!$A$5:$A$500,"&lt;"&amp;EDATE(K$5,1),Invoices!$E$5:$E$500,C32)</f>
        <v/>
      </c>
      <c r="L32" s="8">
        <f>D32-J32</f>
        <v/>
      </c>
    </row>
    <row r="33">
      <c r="A33" s="6" t="inlineStr">
        <is>
          <t>5.3</t>
        </is>
      </c>
      <c r="B33" s="6" t="inlineStr">
        <is>
          <t>Construction</t>
        </is>
      </c>
      <c r="C33" s="6" t="inlineStr">
        <is>
          <t>WATERPROOFING</t>
        </is>
      </c>
      <c r="D33" s="7" t="n">
        <v>4110.32</v>
      </c>
      <c r="E33" s="7" t="n">
        <v>0</v>
      </c>
      <c r="F33" s="8">
        <f>SUMIF(Variations!$B$5:$B$500,C33,Variations!$G$5:$G$500)</f>
        <v/>
      </c>
      <c r="G33" s="8">
        <f>SUMIF(Variations!$B$5:$B$500,C33,Variations!$G$5:$G$500)</f>
        <v/>
      </c>
      <c r="H33" s="8">
        <f>SUM(E33:G33)</f>
        <v/>
      </c>
      <c r="I33" s="8">
        <f>D33-H33</f>
        <v/>
      </c>
      <c r="J33" s="8">
        <f>SUMIF(Invoices!$E$5:$E$500,C33,Invoices!$F$5:$F$500)</f>
        <v/>
      </c>
      <c r="K33" s="8">
        <f>SUMIFS(Invoices!$F$5:$F$500,Invoices!$A$5:$A$500,"&gt;="&amp;K$5,Invoices!$A$5:$A$500,"&lt;"&amp;EDATE(K$5,1),Invoices!$E$5:$E$500,C33)</f>
        <v/>
      </c>
      <c r="L33" s="8">
        <f>D33-J33</f>
        <v/>
      </c>
    </row>
    <row r="34">
      <c r="A34" s="6" t="inlineStr">
        <is>
          <t>5.4</t>
        </is>
      </c>
      <c r="B34" s="6" t="inlineStr">
        <is>
          <t>Construction</t>
        </is>
      </c>
      <c r="C34" s="6" t="inlineStr">
        <is>
          <t>GARAGE DOORS</t>
        </is>
      </c>
      <c r="D34" s="7" t="n">
        <v>3330.11</v>
      </c>
      <c r="E34" s="7" t="n">
        <v>0</v>
      </c>
      <c r="F34" s="8">
        <f>SUMIF(Variations!$B$5:$B$500,C34,Variations!$G$5:$G$500)</f>
        <v/>
      </c>
      <c r="G34" s="8">
        <f>SUMIF(Variations!$B$5:$B$500,C34,Variations!$G$5:$G$500)</f>
        <v/>
      </c>
      <c r="H34" s="8">
        <f>SUM(E34:G34)</f>
        <v/>
      </c>
      <c r="I34" s="8">
        <f>D34-H34</f>
        <v/>
      </c>
      <c r="J34" s="8">
        <f>SUMIF(Invoices!$E$5:$E$500,C34,Invoices!$F$5:$F$500)</f>
        <v/>
      </c>
      <c r="K34" s="8">
        <f>SUMIFS(Invoices!$F$5:$F$500,Invoices!$A$5:$A$500,"&gt;="&amp;K$5,Invoices!$A$5:$A$500,"&lt;"&amp;EDATE(K$5,1),Invoices!$E$5:$E$500,C34)</f>
        <v/>
      </c>
      <c r="L34" s="8">
        <f>D34-J34</f>
        <v/>
      </c>
    </row>
    <row r="35">
      <c r="A35" s="6" t="inlineStr">
        <is>
          <t>5.5</t>
        </is>
      </c>
      <c r="B35" s="6" t="inlineStr">
        <is>
          <t>Construction</t>
        </is>
      </c>
      <c r="C35" s="6" t="inlineStr">
        <is>
          <t>TILING</t>
        </is>
      </c>
      <c r="D35" s="7" t="n">
        <v>26538.54</v>
      </c>
      <c r="E35" s="7" t="n">
        <v>0</v>
      </c>
      <c r="F35" s="8">
        <f>SUMIF(Variations!$B$5:$B$500,C35,Variations!$G$5:$G$500)</f>
        <v/>
      </c>
      <c r="G35" s="8">
        <f>SUMIF(Variations!$B$5:$B$500,C35,Variations!$G$5:$G$500)</f>
        <v/>
      </c>
      <c r="H35" s="8">
        <f>SUM(E35:G35)</f>
        <v/>
      </c>
      <c r="I35" s="8">
        <f>D35-H35</f>
        <v/>
      </c>
      <c r="J35" s="8">
        <f>SUMIF(Invoices!$E$5:$E$500,C35,Invoices!$F$5:$F$500)</f>
        <v/>
      </c>
      <c r="K35" s="8">
        <f>SUMIFS(Invoices!$F$5:$F$500,Invoices!$A$5:$A$500,"&gt;="&amp;K$5,Invoices!$A$5:$A$500,"&lt;"&amp;EDATE(K$5,1),Invoices!$E$5:$E$500,C35)</f>
        <v/>
      </c>
      <c r="L35" s="8">
        <f>D35-J35</f>
        <v/>
      </c>
    </row>
    <row r="36">
      <c r="A36" s="6" t="inlineStr">
        <is>
          <t>5.6</t>
        </is>
      </c>
      <c r="B36" s="6" t="inlineStr">
        <is>
          <t>Construction</t>
        </is>
      </c>
      <c r="C36" s="6" t="inlineStr">
        <is>
          <t>JOINERY</t>
        </is>
      </c>
      <c r="D36" s="7" t="n">
        <v>16864.59</v>
      </c>
      <c r="E36" s="7" t="n">
        <v>0</v>
      </c>
      <c r="F36" s="8">
        <f>SUMIF(Variations!$B$5:$B$500,C36,Variations!$G$5:$G$500)</f>
        <v/>
      </c>
      <c r="G36" s="8">
        <f>SUMIF(Variations!$B$5:$B$500,C36,Variations!$G$5:$G$500)</f>
        <v/>
      </c>
      <c r="H36" s="8">
        <f>SUM(E36:G36)</f>
        <v/>
      </c>
      <c r="I36" s="8">
        <f>D36-H36</f>
        <v/>
      </c>
      <c r="J36" s="8">
        <f>SUMIF(Invoices!$E$5:$E$500,C36,Invoices!$F$5:$F$500)</f>
        <v/>
      </c>
      <c r="K36" s="8">
        <f>SUMIFS(Invoices!$F$5:$F$500,Invoices!$A$5:$A$500,"&gt;="&amp;K$5,Invoices!$A$5:$A$500,"&lt;"&amp;EDATE(K$5,1),Invoices!$E$5:$E$500,C36)</f>
        <v/>
      </c>
      <c r="L36" s="8">
        <f>D36-J36</f>
        <v/>
      </c>
    </row>
    <row r="37">
      <c r="A37" s="6" t="inlineStr">
        <is>
          <t>5.7</t>
        </is>
      </c>
      <c r="B37" s="6" t="inlineStr">
        <is>
          <t>Construction</t>
        </is>
      </c>
      <c r="C37" s="6" t="inlineStr">
        <is>
          <t>STONEWORK</t>
        </is>
      </c>
      <c r="D37" s="7" t="n">
        <v>6347.76</v>
      </c>
      <c r="E37" s="7" t="n">
        <v>0</v>
      </c>
      <c r="F37" s="8">
        <f>SUMIF(Variations!$B$5:$B$500,C37,Variations!$G$5:$G$500)</f>
        <v/>
      </c>
      <c r="G37" s="8">
        <f>SUMIF(Variations!$B$5:$B$500,C37,Variations!$G$5:$G$500)</f>
        <v/>
      </c>
      <c r="H37" s="8">
        <f>SUM(E37:G37)</f>
        <v/>
      </c>
      <c r="I37" s="8">
        <f>D37-H37</f>
        <v/>
      </c>
      <c r="J37" s="8">
        <f>SUMIF(Invoices!$E$5:$E$500,C37,Invoices!$F$5:$F$500)</f>
        <v/>
      </c>
      <c r="K37" s="8">
        <f>SUMIFS(Invoices!$F$5:$F$500,Invoices!$A$5:$A$500,"&gt;="&amp;K$5,Invoices!$A$5:$A$500,"&lt;"&amp;EDATE(K$5,1),Invoices!$E$5:$E$500,C37)</f>
        <v/>
      </c>
      <c r="L37" s="8">
        <f>D37-J37</f>
        <v/>
      </c>
    </row>
    <row r="38">
      <c r="A38" s="6" t="inlineStr">
        <is>
          <t>5.8</t>
        </is>
      </c>
      <c r="B38" s="6" t="inlineStr">
        <is>
          <t>Construction</t>
        </is>
      </c>
      <c r="C38" s="6" t="inlineStr">
        <is>
          <t>TAPWARE, FIXTURES &amp; FITTINGS</t>
        </is>
      </c>
      <c r="D38" s="7" t="n">
        <v>9038.610000000001</v>
      </c>
      <c r="E38" s="7" t="n">
        <v>0</v>
      </c>
      <c r="F38" s="8">
        <f>SUMIF(Variations!$B$5:$B$500,C38,Variations!$G$5:$G$500)</f>
        <v/>
      </c>
      <c r="G38" s="8">
        <f>SUMIF(Variations!$B$5:$B$500,C38,Variations!$G$5:$G$500)</f>
        <v/>
      </c>
      <c r="H38" s="8">
        <f>SUM(E38:G38)</f>
        <v/>
      </c>
      <c r="I38" s="8">
        <f>D38-H38</f>
        <v/>
      </c>
      <c r="J38" s="8">
        <f>SUMIF(Invoices!$E$5:$E$500,C38,Invoices!$F$5:$F$500)</f>
        <v/>
      </c>
      <c r="K38" s="8">
        <f>SUMIFS(Invoices!$F$5:$F$500,Invoices!$A$5:$A$500,"&gt;="&amp;K$5,Invoices!$A$5:$A$500,"&lt;"&amp;EDATE(K$5,1),Invoices!$E$5:$E$500,C38)</f>
        <v/>
      </c>
      <c r="L38" s="8">
        <f>D38-J38</f>
        <v/>
      </c>
    </row>
    <row r="39">
      <c r="A39" s="6" t="inlineStr">
        <is>
          <t>5.9</t>
        </is>
      </c>
      <c r="B39" s="6" t="inlineStr">
        <is>
          <t>Construction</t>
        </is>
      </c>
      <c r="C39" s="6" t="inlineStr">
        <is>
          <t>SHOWER SCREENS, MIRRORS &amp; WARDROBES</t>
        </is>
      </c>
      <c r="D39" s="7" t="n">
        <v>6856.54</v>
      </c>
      <c r="E39" s="7" t="n">
        <v>0</v>
      </c>
      <c r="F39" s="8">
        <f>SUMIF(Variations!$B$5:$B$500,C39,Variations!$G$5:$G$500)</f>
        <v/>
      </c>
      <c r="G39" s="8">
        <f>SUMIF(Variations!$B$5:$B$500,C39,Variations!$G$5:$G$500)</f>
        <v/>
      </c>
      <c r="H39" s="8">
        <f>SUM(E39:G39)</f>
        <v/>
      </c>
      <c r="I39" s="8">
        <f>D39-H39</f>
        <v/>
      </c>
      <c r="J39" s="8">
        <f>SUMIF(Invoices!$E$5:$E$500,C39,Invoices!$F$5:$F$500)</f>
        <v/>
      </c>
      <c r="K39" s="8">
        <f>SUMIFS(Invoices!$F$5:$F$500,Invoices!$A$5:$A$500,"&gt;="&amp;K$5,Invoices!$A$5:$A$500,"&lt;"&amp;EDATE(K$5,1),Invoices!$E$5:$E$500,C39)</f>
        <v/>
      </c>
      <c r="L39" s="8">
        <f>D39-J39</f>
        <v/>
      </c>
    </row>
    <row r="40">
      <c r="A40" s="6" t="inlineStr">
        <is>
          <t>5.1</t>
        </is>
      </c>
      <c r="B40" s="6" t="inlineStr">
        <is>
          <t>Construction</t>
        </is>
      </c>
      <c r="C40" s="6" t="inlineStr">
        <is>
          <t>FIXOUT CARPENTRY</t>
        </is>
      </c>
      <c r="D40" s="7" t="n">
        <v>3594.45</v>
      </c>
      <c r="E40" s="7" t="n">
        <v>0</v>
      </c>
      <c r="F40" s="8">
        <f>SUMIF(Variations!$B$5:$B$500,C40,Variations!$G$5:$G$500)</f>
        <v/>
      </c>
      <c r="G40" s="8">
        <f>SUMIF(Variations!$B$5:$B$500,C40,Variations!$G$5:$G$500)</f>
        <v/>
      </c>
      <c r="H40" s="8">
        <f>SUM(E40:G40)</f>
        <v/>
      </c>
      <c r="I40" s="8">
        <f>D40-H40</f>
        <v/>
      </c>
      <c r="J40" s="8">
        <f>SUMIF(Invoices!$E$5:$E$500,C40,Invoices!$F$5:$F$500)</f>
        <v/>
      </c>
      <c r="K40" s="8">
        <f>SUMIFS(Invoices!$F$5:$F$500,Invoices!$A$5:$A$500,"&gt;="&amp;K$5,Invoices!$A$5:$A$500,"&lt;"&amp;EDATE(K$5,1),Invoices!$E$5:$E$500,C40)</f>
        <v/>
      </c>
      <c r="L40" s="8">
        <f>D40-J40</f>
        <v/>
      </c>
    </row>
    <row r="41">
      <c r="A41" s="6" t="inlineStr">
        <is>
          <t>5.11</t>
        </is>
      </c>
      <c r="B41" s="6" t="inlineStr">
        <is>
          <t>Construction</t>
        </is>
      </c>
      <c r="C41" s="6" t="inlineStr">
        <is>
          <t>APPLIANCES</t>
        </is>
      </c>
      <c r="D41" s="7" t="n">
        <v>6117.53</v>
      </c>
      <c r="E41" s="7" t="n">
        <v>0</v>
      </c>
      <c r="F41" s="8">
        <f>SUMIF(Variations!$B$5:$B$500,C41,Variations!$G$5:$G$500)</f>
        <v/>
      </c>
      <c r="G41" s="8">
        <f>SUMIF(Variations!$B$5:$B$500,C41,Variations!$G$5:$G$500)</f>
        <v/>
      </c>
      <c r="H41" s="8">
        <f>SUM(E41:G41)</f>
        <v/>
      </c>
      <c r="I41" s="8">
        <f>D41-H41</f>
        <v/>
      </c>
      <c r="J41" s="8">
        <f>SUMIF(Invoices!$E$5:$E$500,C41,Invoices!$F$5:$F$500)</f>
        <v/>
      </c>
      <c r="K41" s="8">
        <f>SUMIFS(Invoices!$F$5:$F$500,Invoices!$A$5:$A$500,"&gt;="&amp;K$5,Invoices!$A$5:$A$500,"&lt;"&amp;EDATE(K$5,1),Invoices!$E$5:$E$500,C41)</f>
        <v/>
      </c>
      <c r="L41" s="8">
        <f>D41-J41</f>
        <v/>
      </c>
    </row>
    <row r="42">
      <c r="A42" s="6" t="inlineStr">
        <is>
          <t>5.12</t>
        </is>
      </c>
      <c r="B42" s="6" t="inlineStr">
        <is>
          <t>Construction</t>
        </is>
      </c>
      <c r="C42" s="6" t="inlineStr">
        <is>
          <t>CARPET &amp; FLOOR COVERING</t>
        </is>
      </c>
      <c r="D42" s="7" t="n">
        <v>5414.59</v>
      </c>
      <c r="E42" s="7" t="n">
        <v>0</v>
      </c>
      <c r="F42" s="8">
        <f>SUMIF(Variations!$B$5:$B$500,C42,Variations!$G$5:$G$500)</f>
        <v/>
      </c>
      <c r="G42" s="8">
        <f>SUMIF(Variations!$B$5:$B$500,C42,Variations!$G$5:$G$500)</f>
        <v/>
      </c>
      <c r="H42" s="8">
        <f>SUM(E42:G42)</f>
        <v/>
      </c>
      <c r="I42" s="8">
        <f>D42-H42</f>
        <v/>
      </c>
      <c r="J42" s="8">
        <f>SUMIF(Invoices!$E$5:$E$500,C42,Invoices!$F$5:$F$500)</f>
        <v/>
      </c>
      <c r="K42" s="8">
        <f>SUMIFS(Invoices!$F$5:$F$500,Invoices!$A$5:$A$500,"&gt;="&amp;K$5,Invoices!$A$5:$A$500,"&lt;"&amp;EDATE(K$5,1),Invoices!$E$5:$E$500,C42)</f>
        <v/>
      </c>
      <c r="L42" s="8">
        <f>D42-J42</f>
        <v/>
      </c>
    </row>
    <row r="43">
      <c r="A43" s="6" t="inlineStr">
        <is>
          <t>5.13</t>
        </is>
      </c>
      <c r="B43" s="6" t="inlineStr">
        <is>
          <t>Construction</t>
        </is>
      </c>
      <c r="C43" s="6" t="inlineStr">
        <is>
          <t>HYDRAULIC SERVICES</t>
        </is>
      </c>
      <c r="D43" s="7" t="n">
        <v>16789.11</v>
      </c>
      <c r="E43" s="7" t="n">
        <v>0</v>
      </c>
      <c r="F43" s="8">
        <f>SUMIF(Variations!$B$5:$B$500,C43,Variations!$G$5:$G$500)</f>
        <v/>
      </c>
      <c r="G43" s="8">
        <f>SUMIF(Variations!$B$5:$B$500,C43,Variations!$G$5:$G$500)</f>
        <v/>
      </c>
      <c r="H43" s="8">
        <f>SUM(E43:G43)</f>
        <v/>
      </c>
      <c r="I43" s="8">
        <f>D43-H43</f>
        <v/>
      </c>
      <c r="J43" s="8">
        <f>SUMIF(Invoices!$E$5:$E$500,C43,Invoices!$F$5:$F$500)</f>
        <v/>
      </c>
      <c r="K43" s="8">
        <f>SUMIFS(Invoices!$F$5:$F$500,Invoices!$A$5:$A$500,"&gt;="&amp;K$5,Invoices!$A$5:$A$500,"&lt;"&amp;EDATE(K$5,1),Invoices!$E$5:$E$500,C43)</f>
        <v/>
      </c>
      <c r="L43" s="8">
        <f>D43-J43</f>
        <v/>
      </c>
    </row>
    <row r="44">
      <c r="A44" s="6" t="inlineStr">
        <is>
          <t>5.14</t>
        </is>
      </c>
      <c r="B44" s="6" t="inlineStr">
        <is>
          <t>Construction</t>
        </is>
      </c>
      <c r="C44" s="6" t="inlineStr">
        <is>
          <t>HOT WATER SYSTEM</t>
        </is>
      </c>
      <c r="D44" s="7" t="n">
        <v>1377.27</v>
      </c>
      <c r="E44" s="7" t="n">
        <v>0</v>
      </c>
      <c r="F44" s="8">
        <f>SUMIF(Variations!$B$5:$B$500,C44,Variations!$G$5:$G$500)</f>
        <v/>
      </c>
      <c r="G44" s="8">
        <f>SUMIF(Variations!$B$5:$B$500,C44,Variations!$G$5:$G$500)</f>
        <v/>
      </c>
      <c r="H44" s="8">
        <f>SUM(E44:G44)</f>
        <v/>
      </c>
      <c r="I44" s="8">
        <f>D44-H44</f>
        <v/>
      </c>
      <c r="J44" s="8">
        <f>SUMIF(Invoices!$E$5:$E$500,C44,Invoices!$F$5:$F$500)</f>
        <v/>
      </c>
      <c r="K44" s="8">
        <f>SUMIFS(Invoices!$F$5:$F$500,Invoices!$A$5:$A$500,"&gt;="&amp;K$5,Invoices!$A$5:$A$500,"&lt;"&amp;EDATE(K$5,1),Invoices!$E$5:$E$500,C44)</f>
        <v/>
      </c>
      <c r="L44" s="8">
        <f>D44-J44</f>
        <v/>
      </c>
    </row>
    <row r="45">
      <c r="A45" s="6" t="inlineStr">
        <is>
          <t>5.15</t>
        </is>
      </c>
      <c r="B45" s="6" t="inlineStr">
        <is>
          <t>Construction</t>
        </is>
      </c>
      <c r="C45" s="6" t="inlineStr">
        <is>
          <t>ELECTRICAL SERVICES</t>
        </is>
      </c>
      <c r="D45" s="7" t="n">
        <v>18282.72</v>
      </c>
      <c r="E45" s="7" t="n">
        <v>0</v>
      </c>
      <c r="F45" s="8">
        <f>SUMIF(Variations!$B$5:$B$500,C45,Variations!$G$5:$G$500)</f>
        <v/>
      </c>
      <c r="G45" s="8">
        <f>SUMIF(Variations!$B$5:$B$500,C45,Variations!$G$5:$G$500)</f>
        <v/>
      </c>
      <c r="H45" s="8">
        <f>SUM(E45:G45)</f>
        <v/>
      </c>
      <c r="I45" s="8">
        <f>D45-H45</f>
        <v/>
      </c>
      <c r="J45" s="8">
        <f>SUMIF(Invoices!$E$5:$E$500,C45,Invoices!$F$5:$F$500)</f>
        <v/>
      </c>
      <c r="K45" s="8">
        <f>SUMIFS(Invoices!$F$5:$F$500,Invoices!$A$5:$A$500,"&gt;="&amp;K$5,Invoices!$A$5:$A$500,"&lt;"&amp;EDATE(K$5,1),Invoices!$E$5:$E$500,C45)</f>
        <v/>
      </c>
      <c r="L45" s="8">
        <f>D45-J45</f>
        <v/>
      </c>
    </row>
    <row r="46">
      <c r="A46" s="6" t="inlineStr">
        <is>
          <t>5.16</t>
        </is>
      </c>
      <c r="B46" s="6" t="inlineStr">
        <is>
          <t>Construction</t>
        </is>
      </c>
      <c r="C46" s="6" t="inlineStr">
        <is>
          <t>MECHANICAL SERVICES</t>
        </is>
      </c>
      <c r="D46" s="7" t="n">
        <v>13279.32</v>
      </c>
      <c r="E46" s="7" t="n">
        <v>0</v>
      </c>
      <c r="F46" s="8">
        <f>SUMIF(Variations!$B$5:$B$500,C46,Variations!$G$5:$G$500)</f>
        <v/>
      </c>
      <c r="G46" s="8">
        <f>SUMIF(Variations!$B$5:$B$500,C46,Variations!$G$5:$G$500)</f>
        <v/>
      </c>
      <c r="H46" s="8">
        <f>SUM(E46:G46)</f>
        <v/>
      </c>
      <c r="I46" s="8">
        <f>D46-H46</f>
        <v/>
      </c>
      <c r="J46" s="8">
        <f>SUMIF(Invoices!$E$5:$E$500,C46,Invoices!$F$5:$F$500)</f>
        <v/>
      </c>
      <c r="K46" s="8">
        <f>SUMIFS(Invoices!$F$5:$F$500,Invoices!$A$5:$A$500,"&gt;="&amp;K$5,Invoices!$A$5:$A$500,"&lt;"&amp;EDATE(K$5,1),Invoices!$E$5:$E$500,C46)</f>
        <v/>
      </c>
      <c r="L46" s="8">
        <f>D46-J46</f>
        <v/>
      </c>
    </row>
    <row r="47">
      <c r="A47" s="6" t="inlineStr">
        <is>
          <t>5.17</t>
        </is>
      </c>
      <c r="B47" s="6" t="inlineStr">
        <is>
          <t>Construction</t>
        </is>
      </c>
      <c r="C47" s="6" t="inlineStr">
        <is>
          <t>JOINT SEALING &amp; CAULKING</t>
        </is>
      </c>
      <c r="D47" s="7" t="n">
        <v>1794.56</v>
      </c>
      <c r="E47" s="7" t="n">
        <v>0</v>
      </c>
      <c r="F47" s="8">
        <f>SUMIF(Variations!$B$5:$B$500,C47,Variations!$G$5:$G$500)</f>
        <v/>
      </c>
      <c r="G47" s="8">
        <f>SUMIF(Variations!$B$5:$B$500,C47,Variations!$G$5:$G$500)</f>
        <v/>
      </c>
      <c r="H47" s="8">
        <f>SUM(E47:G47)</f>
        <v/>
      </c>
      <c r="I47" s="8">
        <f>D47-H47</f>
        <v/>
      </c>
      <c r="J47" s="8">
        <f>SUMIF(Invoices!$E$5:$E$500,C47,Invoices!$F$5:$F$500)</f>
        <v/>
      </c>
      <c r="K47" s="8">
        <f>SUMIFS(Invoices!$F$5:$F$500,Invoices!$A$5:$A$500,"&gt;="&amp;K$5,Invoices!$A$5:$A$500,"&lt;"&amp;EDATE(K$5,1),Invoices!$E$5:$E$500,C47)</f>
        <v/>
      </c>
      <c r="L47" s="8">
        <f>D47-J47</f>
        <v/>
      </c>
    </row>
    <row r="48">
      <c r="A48" s="6" t="inlineStr">
        <is>
          <t>6.1</t>
        </is>
      </c>
      <c r="B48" s="6" t="inlineStr">
        <is>
          <t>Construction</t>
        </is>
      </c>
      <c r="C48" s="6" t="inlineStr">
        <is>
          <t>PAINTING</t>
        </is>
      </c>
      <c r="D48" s="7" t="n">
        <v>17754.8</v>
      </c>
      <c r="E48" s="7" t="n">
        <v>0</v>
      </c>
      <c r="F48" s="8">
        <f>SUMIF(Variations!$B$5:$B$500,C48,Variations!$G$5:$G$500)</f>
        <v/>
      </c>
      <c r="G48" s="8">
        <f>SUMIF(Variations!$B$5:$B$500,C48,Variations!$G$5:$G$500)</f>
        <v/>
      </c>
      <c r="H48" s="8">
        <f>SUM(E48:G48)</f>
        <v/>
      </c>
      <c r="I48" s="8">
        <f>D48-H48</f>
        <v/>
      </c>
      <c r="J48" s="8">
        <f>SUMIF(Invoices!$E$5:$E$500,C48,Invoices!$F$5:$F$500)</f>
        <v/>
      </c>
      <c r="K48" s="8">
        <f>SUMIFS(Invoices!$F$5:$F$500,Invoices!$A$5:$A$500,"&gt;="&amp;K$5,Invoices!$A$5:$A$500,"&lt;"&amp;EDATE(K$5,1),Invoices!$E$5:$E$500,C48)</f>
        <v/>
      </c>
      <c r="L48" s="8">
        <f>D48-J48</f>
        <v/>
      </c>
    </row>
    <row r="49">
      <c r="A49" s="6" t="inlineStr">
        <is>
          <t>6.2</t>
        </is>
      </c>
      <c r="B49" s="6" t="inlineStr">
        <is>
          <t>Construction</t>
        </is>
      </c>
      <c r="C49" s="6" t="inlineStr">
        <is>
          <t>SOFTSCAPE</t>
        </is>
      </c>
      <c r="D49" s="7" t="n">
        <v>14066.41</v>
      </c>
      <c r="E49" s="7" t="n">
        <v>0</v>
      </c>
      <c r="F49" s="8">
        <f>SUMIF(Variations!$B$5:$B$500,C49,Variations!$G$5:$G$500)</f>
        <v/>
      </c>
      <c r="G49" s="8">
        <f>SUMIF(Variations!$B$5:$B$500,C49,Variations!$G$5:$G$500)</f>
        <v/>
      </c>
      <c r="H49" s="8">
        <f>SUM(E49:G49)</f>
        <v/>
      </c>
      <c r="I49" s="8">
        <f>D49-H49</f>
        <v/>
      </c>
      <c r="J49" s="8">
        <f>SUMIF(Invoices!$E$5:$E$500,C49,Invoices!$F$5:$F$500)</f>
        <v/>
      </c>
      <c r="K49" s="8">
        <f>SUMIFS(Invoices!$F$5:$F$500,Invoices!$A$5:$A$500,"&gt;="&amp;K$5,Invoices!$A$5:$A$500,"&lt;"&amp;EDATE(K$5,1),Invoices!$E$5:$E$500,C49)</f>
        <v/>
      </c>
      <c r="L49" s="8">
        <f>D49-J49</f>
        <v/>
      </c>
    </row>
    <row r="50">
      <c r="A50" s="6" t="inlineStr">
        <is>
          <t>6.3</t>
        </is>
      </c>
      <c r="B50" s="6" t="inlineStr">
        <is>
          <t>Construction</t>
        </is>
      </c>
      <c r="C50" s="6" t="inlineStr">
        <is>
          <t>HARDSCAPE</t>
        </is>
      </c>
      <c r="D50" s="7" t="n">
        <v>24879.09</v>
      </c>
      <c r="E50" s="7" t="n">
        <v>0</v>
      </c>
      <c r="F50" s="8">
        <f>SUMIF(Variations!$B$5:$B$500,C50,Variations!$G$5:$G$500)</f>
        <v/>
      </c>
      <c r="G50" s="8">
        <f>SUMIF(Variations!$B$5:$B$500,C50,Variations!$G$5:$G$500)</f>
        <v/>
      </c>
      <c r="H50" s="8">
        <f>SUM(E50:G50)</f>
        <v/>
      </c>
      <c r="I50" s="8">
        <f>D50-H50</f>
        <v/>
      </c>
      <c r="J50" s="8">
        <f>SUMIF(Invoices!$E$5:$E$500,C50,Invoices!$F$5:$F$500)</f>
        <v/>
      </c>
      <c r="K50" s="8">
        <f>SUMIFS(Invoices!$F$5:$F$500,Invoices!$A$5:$A$500,"&gt;="&amp;K$5,Invoices!$A$5:$A$500,"&lt;"&amp;EDATE(K$5,1),Invoices!$E$5:$E$500,C50)</f>
        <v/>
      </c>
      <c r="L50" s="8">
        <f>D50-J50</f>
        <v/>
      </c>
    </row>
    <row r="51">
      <c r="A51" s="6" t="inlineStr">
        <is>
          <t>6.4</t>
        </is>
      </c>
      <c r="B51" s="6" t="inlineStr">
        <is>
          <t>Construction</t>
        </is>
      </c>
      <c r="C51" s="6" t="inlineStr">
        <is>
          <t>FENCING &amp; GATES</t>
        </is>
      </c>
      <c r="D51" s="7" t="n">
        <v>11405.38</v>
      </c>
      <c r="E51" s="7" t="n">
        <v>0</v>
      </c>
      <c r="F51" s="8">
        <f>SUMIF(Variations!$B$5:$B$500,C51,Variations!$G$5:$G$500)</f>
        <v/>
      </c>
      <c r="G51" s="8">
        <f>SUMIF(Variations!$B$5:$B$500,C51,Variations!$G$5:$G$500)</f>
        <v/>
      </c>
      <c r="H51" s="8">
        <f>SUM(E51:G51)</f>
        <v/>
      </c>
      <c r="I51" s="8">
        <f>D51-H51</f>
        <v/>
      </c>
      <c r="J51" s="8">
        <f>SUMIF(Invoices!$E$5:$E$500,C51,Invoices!$F$5:$F$500)</f>
        <v/>
      </c>
      <c r="K51" s="8">
        <f>SUMIFS(Invoices!$F$5:$F$500,Invoices!$A$5:$A$500,"&gt;="&amp;K$5,Invoices!$A$5:$A$500,"&lt;"&amp;EDATE(K$5,1),Invoices!$E$5:$E$500,C51)</f>
        <v/>
      </c>
      <c r="L51" s="8">
        <f>D51-J51</f>
        <v/>
      </c>
    </row>
    <row r="52">
      <c r="A52" s="6" t="inlineStr">
        <is>
          <t>6.5</t>
        </is>
      </c>
      <c r="B52" s="6" t="inlineStr">
        <is>
          <t>Construction</t>
        </is>
      </c>
      <c r="C52" s="6" t="inlineStr">
        <is>
          <t>CLEANING</t>
        </is>
      </c>
      <c r="D52" s="7" t="n">
        <v>9496</v>
      </c>
      <c r="E52" s="7" t="n">
        <v>0</v>
      </c>
      <c r="F52" s="8">
        <f>SUMIF(Variations!$B$5:$B$500,C52,Variations!$G$5:$G$500)</f>
        <v/>
      </c>
      <c r="G52" s="8">
        <f>SUMIF(Variations!$B$5:$B$500,C52,Variations!$G$5:$G$500)</f>
        <v/>
      </c>
      <c r="H52" s="8">
        <f>SUM(E52:G52)</f>
        <v/>
      </c>
      <c r="I52" s="8">
        <f>D52-H52</f>
        <v/>
      </c>
      <c r="J52" s="8">
        <f>SUMIF(Invoices!$E$5:$E$500,C52,Invoices!$F$5:$F$500)</f>
        <v/>
      </c>
      <c r="K52" s="8">
        <f>SUMIFS(Invoices!$F$5:$F$500,Invoices!$A$5:$A$500,"&gt;="&amp;K$5,Invoices!$A$5:$A$500,"&lt;"&amp;EDATE(K$5,1),Invoices!$E$5:$E$500,C52)</f>
        <v/>
      </c>
      <c r="L52" s="8">
        <f>D52-J52</f>
        <v/>
      </c>
    </row>
    <row r="53">
      <c r="C53" s="9" t="inlineStr">
        <is>
          <t>SUBTOTAL - Construction</t>
        </is>
      </c>
      <c r="D53" s="10">
        <f>SUM(D15:D52)</f>
        <v/>
      </c>
      <c r="E53" s="10">
        <f>SUM(E15:E52)</f>
        <v/>
      </c>
      <c r="F53" s="10">
        <f>SUM(F15:F52)</f>
        <v/>
      </c>
      <c r="G53" s="10">
        <f>SUM(G15:G52)</f>
        <v/>
      </c>
      <c r="H53" s="10">
        <f>SUM(H15:H52)</f>
        <v/>
      </c>
      <c r="I53" s="10">
        <f>SUM(I15:I52)</f>
        <v/>
      </c>
      <c r="J53" s="10">
        <f>SUM(J15:J52)</f>
        <v/>
      </c>
      <c r="K53" s="10">
        <f>SUM(K15:K52)</f>
        <v/>
      </c>
      <c r="L53" s="10">
        <f>SUM(L15:L52)</f>
        <v/>
      </c>
    </row>
    <row r="54"/>
    <row r="55">
      <c r="A55" s="6" t="inlineStr">
        <is>
          <t>4.99</t>
        </is>
      </c>
      <c r="B55" s="6" t="inlineStr">
        <is>
          <t>Contingency / allowances</t>
        </is>
      </c>
      <c r="C55" s="6" t="inlineStr">
        <is>
          <t>Construction contingency</t>
        </is>
      </c>
      <c r="D55" s="7">
        <f>D53*7.5%</f>
        <v/>
      </c>
      <c r="E55" s="7" t="n">
        <v>0</v>
      </c>
      <c r="F55" s="8">
        <f>SUMIF(Variations!$B$5:$B$500,C55,Variations!$G$5:$G$500)</f>
        <v/>
      </c>
      <c r="G55" s="8">
        <f>SUMIF(Variations!$B$5:$B$500,C55,Variations!$G$5:$G$500)</f>
        <v/>
      </c>
      <c r="H55" s="8">
        <f>SUM(E55:G55)</f>
        <v/>
      </c>
      <c r="I55" s="8">
        <f>D55-H55</f>
        <v/>
      </c>
      <c r="J55" s="8">
        <f>SUMIF(Invoices!$E$5:$E$500,C55,Invoices!$F$5:$F$500)</f>
        <v/>
      </c>
      <c r="K55" s="8">
        <f>SUMIFS(Invoices!$F$5:$F$500,Invoices!$A$5:$A$500,"&gt;="&amp;K$5,Invoices!$A$5:$A$500,"&lt;"&amp;EDATE(K$5,1),Invoices!$E$5:$E$500,C55)</f>
        <v/>
      </c>
      <c r="L55" s="8">
        <f>D55-J55</f>
        <v/>
      </c>
    </row>
    <row r="56">
      <c r="C56" s="9" t="inlineStr">
        <is>
          <t>SUBTOTAL - Contingency / allowances</t>
        </is>
      </c>
      <c r="D56" s="10">
        <f>SUM(D55:D55)</f>
        <v/>
      </c>
      <c r="E56" s="10">
        <f>SUM(E55:E55)</f>
        <v/>
      </c>
      <c r="F56" s="10">
        <f>SUM(F55:F55)</f>
        <v/>
      </c>
      <c r="G56" s="10">
        <f>SUM(G55:G55)</f>
        <v/>
      </c>
      <c r="H56" s="10">
        <f>SUM(H55:H55)</f>
        <v/>
      </c>
      <c r="I56" s="10">
        <f>SUM(I55:I55)</f>
        <v/>
      </c>
      <c r="J56" s="10">
        <f>SUM(J55:J55)</f>
        <v/>
      </c>
      <c r="K56" s="10">
        <f>SUM(K55:K55)</f>
        <v/>
      </c>
      <c r="L56" s="10">
        <f>SUM(L55:L55)</f>
        <v/>
      </c>
    </row>
    <row r="57"/>
    <row r="58">
      <c r="C58" s="12" t="inlineStr">
        <is>
          <t>GRAND TOTAL - HOUSE COST FRAMEWORK</t>
        </is>
      </c>
      <c r="D58" s="13">
        <f>D9+D13+D53+D56</f>
        <v/>
      </c>
      <c r="E58" s="13">
        <f>E9+E13+E53+E56</f>
        <v/>
      </c>
      <c r="F58" s="13">
        <f>F9+F13+F53+F56</f>
        <v/>
      </c>
      <c r="G58" s="13">
        <f>G9+G13+G53+G56</f>
        <v/>
      </c>
      <c r="H58" s="13">
        <f>H9+H13+H53+H56</f>
        <v/>
      </c>
      <c r="I58" s="13">
        <f>I9+I13+I53+I56</f>
        <v/>
      </c>
      <c r="J58" s="13">
        <f>J9+J13+J53+J56</f>
        <v/>
      </c>
      <c r="K58" s="13">
        <f>K9+K13+K53+K56</f>
        <v/>
      </c>
      <c r="L58" s="13">
        <f>L9+L13+L53+L56</f>
        <v/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48" customWidth="1" min="5" max="5"/>
    <col width="14" customWidth="1" min="6" max="6"/>
    <col width="14" customWidth="1" min="7" max="7"/>
    <col width="10" customWidth="1" min="8" max="8"/>
  </cols>
  <sheetData>
    <row r="1">
      <c r="A1" s="14" t="inlineStr">
        <is>
          <t>INVOICES REGISTER</t>
        </is>
      </c>
    </row>
    <row r="2">
      <c r="A2" s="2" t="inlineStr">
        <is>
          <t>Reusable residential house cost framework</t>
        </is>
      </c>
    </row>
    <row r="3"/>
    <row r="4">
      <c r="A4" s="15" t="inlineStr">
        <is>
          <t>Date</t>
        </is>
      </c>
      <c r="B4" s="15" t="inlineStr">
        <is>
          <t>Company</t>
        </is>
      </c>
      <c r="C4" s="15" t="inlineStr">
        <is>
          <t>PO Number</t>
        </is>
      </c>
      <c r="D4" s="15" t="inlineStr">
        <is>
          <t>Invoice Number</t>
        </is>
      </c>
      <c r="E4" s="15" t="inlineStr">
        <is>
          <t>Cost Item</t>
        </is>
      </c>
      <c r="F4" s="15" t="inlineStr">
        <is>
          <t>Amount</t>
        </is>
      </c>
      <c r="G4" s="15" t="inlineStr">
        <is>
          <t>Current Month</t>
        </is>
      </c>
      <c r="H4" s="15" t="inlineStr">
        <is>
          <t>Paid?</t>
        </is>
      </c>
    </row>
  </sheetData>
  <mergeCells count="2">
    <mergeCell ref="A2:H2"/>
    <mergeCell ref="A1:H1"/>
  </mergeCells>
  <dataValidations count="1">
    <dataValidation sqref="E5:E100" showDropDown="0" showInputMessage="0" showErrorMessage="0" allowBlank="1" errorTitle="Invalid Cost Item" error="Please select a valid Cost Item from the list" type="list">
      <formula1>"Principal Certifier / CDC fees,Authority / statutory fees and inspections,Architect / lead designer,Building services engineer,Fire / BCA / access consulting,QS / cost advice allowance,Preliminaries, site management and access controls,Demolition, strip-out and make-good,Lift lobby and amenities finishes,Speculative suite fitout works,Mechanical, electrical, hydraulic and fire services,Security, access control, signage and commissioning,Design development allowance,Construction contingency"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32" customWidth="1" min="3" max="3"/>
    <col width="12" customWidth="1" min="4" max="4"/>
    <col width="14" customWidth="1" min="5" max="5"/>
    <col width="15" customWidth="1" min="6" max="6"/>
    <col width="16" customWidth="1" min="7" max="7"/>
  </cols>
  <sheetData>
    <row r="1">
      <c r="A1" s="14" t="inlineStr">
        <is>
          <t>VARIATIONS REGISTER</t>
        </is>
      </c>
    </row>
    <row r="2">
      <c r="A2" s="2" t="inlineStr">
        <is>
          <t>Reusable residential house cost framework</t>
        </is>
      </c>
    </row>
    <row r="3"/>
    <row r="4">
      <c r="A4" s="15" t="inlineStr">
        <is>
          <t>Date Submitted</t>
        </is>
      </c>
      <c r="B4" s="15" t="inlineStr">
        <is>
          <t>Cost Item</t>
        </is>
      </c>
      <c r="C4" s="15" t="inlineStr">
        <is>
          <t>Variation To</t>
        </is>
      </c>
      <c r="D4" s="15" t="inlineStr">
        <is>
          <t>Status</t>
        </is>
      </c>
      <c r="E4" s="15" t="inlineStr">
        <is>
          <t>Amount</t>
        </is>
      </c>
      <c r="F4" s="15" t="inlineStr">
        <is>
          <t>Date Approved</t>
        </is>
      </c>
      <c r="G4" s="15" t="inlineStr">
        <is>
          <t>Approved Amount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2026-05-28T07:07:36Z</dcterms:created>
  <dcterms:modified xsi:type="dcterms:W3CDTF">2026-05-31T05:19:44Z</dcterms:modified>
</cp:coreProperties>
</file>