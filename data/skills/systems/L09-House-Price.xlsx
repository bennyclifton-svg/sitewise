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I Projects\Test Data\Newham Kit\"/>
    </mc:Choice>
  </mc:AlternateContent>
  <bookViews>
    <workbookView xWindow="-120" yWindow="-120" windowWidth="29040" windowHeight="15720"/>
  </bookViews>
  <sheets>
    <sheet name="CH Trade Breakdown" sheetId="2" r:id="rId1"/>
    <sheet name="Variations &gt;&gt;&gt;" sheetId="4" r:id="rId2"/>
    <sheet name="Var01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G21" i="3" s="1"/>
  <c r="K20" i="3"/>
  <c r="K21" i="3" s="1"/>
  <c r="M20" i="3"/>
  <c r="M21" i="3" s="1"/>
  <c r="N20" i="3"/>
  <c r="N21" i="3" s="1"/>
  <c r="O20" i="3"/>
  <c r="O21" i="3" s="1"/>
  <c r="P20" i="3"/>
  <c r="P21" i="3"/>
  <c r="P23" i="3" s="1"/>
  <c r="L20" i="3"/>
  <c r="L21" i="3" s="1"/>
  <c r="D59" i="2" l="1"/>
</calcChain>
</file>

<file path=xl/sharedStrings.xml><?xml version="1.0" encoding="utf-8"?>
<sst xmlns="http://schemas.openxmlformats.org/spreadsheetml/2006/main" count="94" uniqueCount="85">
  <si>
    <t>Contract Price - Trade Breakdown - Lot Summary</t>
  </si>
  <si>
    <t>Client: Namul Pty Ltd</t>
  </si>
  <si>
    <t>Project Name: Newham On York, Kellyville</t>
  </si>
  <si>
    <t>Project Description: D&amp;C 10 x Spec Lots Stage 1 (Lots 6,9,11-16,18,19)</t>
  </si>
  <si>
    <t>Prepared By: Ari Salehi</t>
  </si>
  <si>
    <t>ITEM</t>
  </si>
  <si>
    <t>DESCRIPTION</t>
  </si>
  <si>
    <t>Lot 9</t>
  </si>
  <si>
    <t>TOTAL</t>
  </si>
  <si>
    <t>CONTRACT VALUE</t>
  </si>
  <si>
    <t>Amount ($)</t>
  </si>
  <si>
    <t>PRELIMINARIES</t>
  </si>
  <si>
    <t>AUTHORITIES FEES</t>
  </si>
  <si>
    <t>CONSULTANTS</t>
  </si>
  <si>
    <t>HOW &amp; LSL</t>
  </si>
  <si>
    <t>TEMP SERVICES (SITE AMMENITIES)</t>
  </si>
  <si>
    <t>SUPERVISION</t>
  </si>
  <si>
    <t xml:space="preserve">SITE WORKS </t>
  </si>
  <si>
    <t>SURVEYORS</t>
  </si>
  <si>
    <t>EARTHWORKS</t>
  </si>
  <si>
    <t>TERMITE TREATMENT</t>
  </si>
  <si>
    <t>CONCRETE SLABS</t>
  </si>
  <si>
    <t>FOUNDATION PIERS</t>
  </si>
  <si>
    <t>CONCRETE WORKS</t>
  </si>
  <si>
    <t>FRAME, ROOF &amp; LOCKUP</t>
  </si>
  <si>
    <t>WALL FRAMING &amp; ROOF TRUSSES</t>
  </si>
  <si>
    <t>STRUCTURAL STEEL</t>
  </si>
  <si>
    <t>MOBILE CRANE HIRE</t>
  </si>
  <si>
    <t>WINDOW SUPPLY</t>
  </si>
  <si>
    <t>MASONRY</t>
  </si>
  <si>
    <t>SCAFFOLDING</t>
  </si>
  <si>
    <t>ROOF RAIL PROTECTION</t>
  </si>
  <si>
    <t>ROOFING</t>
  </si>
  <si>
    <t>EXTERNAL CLADDING &amp; EAVES SOFFIT</t>
  </si>
  <si>
    <t>LOCKUP</t>
  </si>
  <si>
    <t>INTERNAL WORKS</t>
  </si>
  <si>
    <t>INSULATION</t>
  </si>
  <si>
    <t>PLASTERBOARD</t>
  </si>
  <si>
    <t>WATERPROOFING</t>
  </si>
  <si>
    <t>GARAGE DOORS</t>
  </si>
  <si>
    <t>TILING</t>
  </si>
  <si>
    <t>JOINERY</t>
  </si>
  <si>
    <t>STONEWORK</t>
  </si>
  <si>
    <t>TAPWARE, FIXTURES &amp; FITTINGS</t>
  </si>
  <si>
    <t>SHOWER SCREENS, MIRRORS &amp; WARDROBES</t>
  </si>
  <si>
    <t>FIXOUT CARPENTRY</t>
  </si>
  <si>
    <t>APPLIANCES</t>
  </si>
  <si>
    <t>CARPET &amp; FLOOR COVERING</t>
  </si>
  <si>
    <t>HYDRAULIC SERVICES</t>
  </si>
  <si>
    <t>HOT WATER SYSTEM</t>
  </si>
  <si>
    <t>ELECTRICAL SERVICES</t>
  </si>
  <si>
    <t>MECHANICAL SERVICES</t>
  </si>
  <si>
    <t>JOINT SEALING &amp; CAULKING</t>
  </si>
  <si>
    <t>EXTERNAL WORKS</t>
  </si>
  <si>
    <t>PAINTING</t>
  </si>
  <si>
    <t>SOFTSCAPE</t>
  </si>
  <si>
    <t>HARDSCAPE</t>
  </si>
  <si>
    <t>FENCING &amp; GATES</t>
  </si>
  <si>
    <t>CLEANING</t>
  </si>
  <si>
    <t>Dated:</t>
  </si>
  <si>
    <t>Upgrades Selected for SPEC Builds</t>
  </si>
  <si>
    <t>Lot No.</t>
  </si>
  <si>
    <t>House Type</t>
  </si>
  <si>
    <t>Status</t>
  </si>
  <si>
    <t>Total House Area</t>
  </si>
  <si>
    <t>Land Size (sqm)</t>
  </si>
  <si>
    <t>Build Price (INC GST)</t>
  </si>
  <si>
    <t>Authority (Scaffolding) INC GST</t>
  </si>
  <si>
    <t>Authority (NCC Changes) INC GST</t>
  </si>
  <si>
    <t>Delete Construction Plan Draft (Paid by Namul) INC GST</t>
  </si>
  <si>
    <t>Appliance (SMEG); Allowance for GAS ONLY</t>
  </si>
  <si>
    <t>Garage Door Sectional Glazing</t>
  </si>
  <si>
    <t>Hybrid Timber to first floor (including stairs)</t>
  </si>
  <si>
    <t>Tiles to Ground Floor</t>
  </si>
  <si>
    <t>Build Price (INC GST) AFTER VARIATIONS</t>
  </si>
  <si>
    <t>Corner A</t>
  </si>
  <si>
    <t>Spec Display - Display</t>
  </si>
  <si>
    <t>Spec Build</t>
  </si>
  <si>
    <t>12.0m</t>
  </si>
  <si>
    <t>TOTAL (INC GST)</t>
  </si>
  <si>
    <t>TOTAL (EX GST)</t>
  </si>
  <si>
    <t>NET DIF (+/-) EX GST</t>
  </si>
  <si>
    <t>Note Variation approved 12th April 2024 by INVOKE Property.</t>
  </si>
  <si>
    <t>Creation Homes Variation 1</t>
  </si>
  <si>
    <t>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</si>
</sst>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dd\-mmm\-yy"/>
    <numFmt numFmtId="166" formatCode="#,##0;[Red]\(#,##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rial"/>
      <family val="2"/>
    </font>
    <font>
      <b/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44" fontId="2" fillId="0" borderId="0" xfId="2" applyFont="1"/>
    <xf numFmtId="44" fontId="2" fillId="0" borderId="5" xfId="2" applyFont="1" applyBorder="1" applyAlignment="1">
      <alignment horizontal="center" vertical="center"/>
    </xf>
    <xf numFmtId="44" fontId="5" fillId="3" borderId="1" xfId="2" applyFont="1" applyFill="1" applyBorder="1" applyAlignment="1">
      <alignment horizontal="center"/>
    </xf>
    <xf numFmtId="44" fontId="5" fillId="3" borderId="12" xfId="2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2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44" fontId="2" fillId="2" borderId="19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/>
    </xf>
    <xf numFmtId="0" fontId="3" fillId="4" borderId="13" xfId="0" applyFont="1" applyFill="1" applyBorder="1" applyAlignment="1">
      <alignment horizontal="center"/>
    </xf>
    <xf numFmtId="44" fontId="3" fillId="4" borderId="14" xfId="2" applyFont="1" applyFill="1" applyBorder="1" applyAlignment="1">
      <alignment horizontal="left"/>
    </xf>
    <xf numFmtId="165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7" fillId="0" borderId="0" xfId="0" applyFont="1"/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66" fontId="0" fillId="0" borderId="20" xfId="1" applyNumberFormat="1" applyFont="1" applyBorder="1"/>
    <xf numFmtId="166" fontId="0" fillId="0" borderId="21" xfId="1" applyNumberFormat="1" applyFont="1" applyBorder="1"/>
    <xf numFmtId="166" fontId="0" fillId="0" borderId="22" xfId="1" applyNumberFormat="1" applyFont="1" applyBorder="1"/>
    <xf numFmtId="166" fontId="0" fillId="0" borderId="0" xfId="1" applyNumberFormat="1" applyFont="1" applyBorder="1"/>
    <xf numFmtId="166" fontId="0" fillId="0" borderId="23" xfId="1" applyNumberFormat="1" applyFont="1" applyBorder="1"/>
    <xf numFmtId="166" fontId="0" fillId="0" borderId="24" xfId="1" applyNumberFormat="1" applyFont="1" applyBorder="1"/>
    <xf numFmtId="166" fontId="0" fillId="0" borderId="6" xfId="1" applyNumberFormat="1" applyFont="1" applyBorder="1"/>
    <xf numFmtId="166" fontId="0" fillId="0" borderId="9" xfId="1" applyNumberFormat="1" applyFont="1" applyBorder="1"/>
    <xf numFmtId="166" fontId="0" fillId="0" borderId="25" xfId="1" applyNumberFormat="1" applyFont="1" applyBorder="1"/>
    <xf numFmtId="0" fontId="8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</cellXfs>
  <cellStyles count="4">
    <cellStyle name="Comma" xfId="1" builtinId="3"/>
    <cellStyle name="Comma 2" xf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80685</xdr:rowOff>
    </xdr:from>
    <xdr:to>
      <xdr:col>8</xdr:col>
      <xdr:colOff>53975</xdr:colOff>
      <xdr:row>4</xdr:row>
      <xdr:rowOff>17870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2347E-8305-4EAA-8616-25C76E57F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1" t="38467" r="12624" b="38660"/>
        <a:stretch>
          <a:fillRect/>
        </a:stretch>
      </xdr:blipFill>
      <xdr:spPr bwMode="auto">
        <a:xfrm>
          <a:off x="14636750" y="264835"/>
          <a:ext cx="2590800" cy="476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9"/>
  <sheetViews>
    <sheetView tabSelected="1" zoomScale="55" zoomScaleNormal="55" workbookViewId="0">
      <selection activeCell="C7" sqref="C7"/>
    </sheetView>
  </sheetViews>
  <sheetFormatPr defaultRowHeight="14.25"/>
  <cols>
    <col min="1" max="1" width="4.75" customWidth="1"/>
    <col min="2" max="2" width="14.625" customWidth="1"/>
    <col min="3" max="3" width="38" bestFit="1" customWidth="1"/>
    <col min="4" max="4" width="18.125" bestFit="1" customWidth="1"/>
  </cols>
  <sheetData>
    <row r="2" spans="2:4" ht="18">
      <c r="B2" s="15" t="s">
        <v>0</v>
      </c>
      <c r="C2" s="15"/>
      <c r="D2" s="15"/>
    </row>
    <row r="3" spans="2:4" ht="15.75">
      <c r="B3" s="16" t="s">
        <v>1</v>
      </c>
      <c r="C3" s="17"/>
      <c r="D3" s="17"/>
    </row>
    <row r="4" spans="2:4" ht="15.75">
      <c r="B4" s="16" t="s">
        <v>2</v>
      </c>
      <c r="C4" s="17"/>
      <c r="D4" s="17"/>
    </row>
    <row r="5" spans="2:4" ht="15.75">
      <c r="B5" s="16" t="s">
        <v>3</v>
      </c>
      <c r="C5" s="17"/>
      <c r="D5" s="17"/>
    </row>
    <row r="6" spans="2:4" ht="15.75">
      <c r="B6" s="16" t="s">
        <v>4</v>
      </c>
      <c r="C6" s="17"/>
      <c r="D6" s="17"/>
    </row>
    <row r="7" spans="2:4" ht="15.75" thickBot="1">
      <c r="D7" s="3"/>
    </row>
    <row r="8" spans="2:4" ht="15">
      <c r="B8" s="41" t="s">
        <v>5</v>
      </c>
      <c r="C8" s="44" t="s">
        <v>6</v>
      </c>
      <c r="D8" s="4" t="s">
        <v>7</v>
      </c>
    </row>
    <row r="9" spans="2:4" ht="15">
      <c r="B9" s="42"/>
      <c r="C9" s="45"/>
      <c r="D9" s="5" t="s">
        <v>9</v>
      </c>
    </row>
    <row r="10" spans="2:4" ht="15.75" thickBot="1">
      <c r="B10" s="43"/>
      <c r="C10" s="46"/>
      <c r="D10" s="6" t="s">
        <v>10</v>
      </c>
    </row>
    <row r="11" spans="2:4" ht="15">
      <c r="B11" s="18">
        <v>1</v>
      </c>
      <c r="C11" s="19" t="s">
        <v>11</v>
      </c>
      <c r="D11" s="19"/>
    </row>
    <row r="12" spans="2:4">
      <c r="B12" s="7">
        <v>1.1000000000000001</v>
      </c>
      <c r="C12" s="8" t="s">
        <v>12</v>
      </c>
      <c r="D12" s="9">
        <v>3788.129366000001</v>
      </c>
    </row>
    <row r="13" spans="2:4">
      <c r="B13" s="7">
        <v>1.2</v>
      </c>
      <c r="C13" s="8" t="s">
        <v>13</v>
      </c>
      <c r="D13" s="9">
        <v>1352.9033450000004</v>
      </c>
    </row>
    <row r="14" spans="2:4">
      <c r="B14" s="7">
        <v>1.3</v>
      </c>
      <c r="C14" s="8" t="s">
        <v>14</v>
      </c>
      <c r="D14" s="9">
        <v>10011.484753000001</v>
      </c>
    </row>
    <row r="15" spans="2:4">
      <c r="B15" s="7">
        <v>1.4</v>
      </c>
      <c r="C15" s="8" t="s">
        <v>15</v>
      </c>
      <c r="D15" s="9">
        <v>3246.9680280000007</v>
      </c>
    </row>
    <row r="16" spans="2:4">
      <c r="B16" s="7">
        <v>1.5</v>
      </c>
      <c r="C16" s="8" t="s">
        <v>16</v>
      </c>
      <c r="D16" s="9">
        <v>16234.840140000002</v>
      </c>
    </row>
    <row r="17" spans="2:4" ht="15">
      <c r="B17" s="18">
        <v>2</v>
      </c>
      <c r="C17" s="19" t="s">
        <v>17</v>
      </c>
      <c r="D17" s="19"/>
    </row>
    <row r="18" spans="2:4">
      <c r="B18" s="7">
        <v>2.1</v>
      </c>
      <c r="C18" s="8" t="s">
        <v>18</v>
      </c>
      <c r="D18" s="9">
        <v>4230.3441392670011</v>
      </c>
    </row>
    <row r="19" spans="2:4">
      <c r="B19" s="7">
        <v>2.2000000000000002</v>
      </c>
      <c r="C19" s="8" t="s">
        <v>19</v>
      </c>
      <c r="D19" s="9">
        <v>10293.758048216871</v>
      </c>
    </row>
    <row r="20" spans="2:4">
      <c r="B20" s="7">
        <v>2.2999999999999998</v>
      </c>
      <c r="C20" s="8" t="s">
        <v>20</v>
      </c>
      <c r="D20" s="9">
        <v>979.69324122137687</v>
      </c>
    </row>
    <row r="21" spans="2:4" ht="15">
      <c r="B21" s="18">
        <v>3</v>
      </c>
      <c r="C21" s="19" t="s">
        <v>21</v>
      </c>
      <c r="D21" s="19"/>
    </row>
    <row r="22" spans="2:4">
      <c r="B22" s="7">
        <v>3.1</v>
      </c>
      <c r="C22" s="8" t="s">
        <v>22</v>
      </c>
      <c r="D22" s="9">
        <v>18083.202560661186</v>
      </c>
    </row>
    <row r="23" spans="2:4">
      <c r="B23" s="7">
        <v>3.2</v>
      </c>
      <c r="C23" s="8" t="s">
        <v>23</v>
      </c>
      <c r="D23" s="9">
        <v>35427.81320776575</v>
      </c>
    </row>
    <row r="24" spans="2:4" ht="15">
      <c r="B24" s="18">
        <v>4</v>
      </c>
      <c r="C24" s="19" t="s">
        <v>24</v>
      </c>
      <c r="D24" s="19"/>
    </row>
    <row r="25" spans="2:4">
      <c r="B25" s="7">
        <v>4.0999999999999996</v>
      </c>
      <c r="C25" s="8" t="s">
        <v>25</v>
      </c>
      <c r="D25" s="9">
        <v>58566.18329138188</v>
      </c>
    </row>
    <row r="26" spans="2:4">
      <c r="B26" s="7">
        <v>4.2</v>
      </c>
      <c r="C26" s="8" t="s">
        <v>26</v>
      </c>
      <c r="D26" s="9">
        <v>7754.1863259211614</v>
      </c>
    </row>
    <row r="27" spans="2:4">
      <c r="B27" s="7">
        <v>4.3</v>
      </c>
      <c r="C27" s="8" t="s">
        <v>27</v>
      </c>
      <c r="D27" s="9">
        <v>4041.9613186842748</v>
      </c>
    </row>
    <row r="28" spans="2:4">
      <c r="B28" s="7">
        <v>4.4000000000000004</v>
      </c>
      <c r="C28" s="8" t="s">
        <v>28</v>
      </c>
      <c r="D28" s="9">
        <v>19710.844924370183</v>
      </c>
    </row>
    <row r="29" spans="2:4">
      <c r="B29" s="7">
        <v>4.5</v>
      </c>
      <c r="C29" s="8" t="s">
        <v>29</v>
      </c>
      <c r="D29" s="9">
        <v>31879.767064446212</v>
      </c>
    </row>
    <row r="30" spans="2:4">
      <c r="B30" s="7">
        <v>4.5999999999999996</v>
      </c>
      <c r="C30" s="8" t="s">
        <v>30</v>
      </c>
      <c r="D30" s="9">
        <v>16899.88333574557</v>
      </c>
    </row>
    <row r="31" spans="2:4">
      <c r="B31" s="7">
        <v>4.7</v>
      </c>
      <c r="C31" s="8" t="s">
        <v>31</v>
      </c>
      <c r="D31" s="9">
        <v>2042.558466492542</v>
      </c>
    </row>
    <row r="32" spans="2:4">
      <c r="B32" s="7">
        <v>4.8</v>
      </c>
      <c r="C32" s="8" t="s">
        <v>32</v>
      </c>
      <c r="D32" s="9">
        <v>19428.326461609558</v>
      </c>
    </row>
    <row r="33" spans="2:4">
      <c r="B33" s="7">
        <v>4.9000000000000004</v>
      </c>
      <c r="C33" s="8" t="s">
        <v>33</v>
      </c>
      <c r="D33" s="9">
        <v>29208.278406092024</v>
      </c>
    </row>
    <row r="34" spans="2:4">
      <c r="B34" s="10">
        <v>4.0999999999999996</v>
      </c>
      <c r="C34" s="8" t="s">
        <v>34</v>
      </c>
      <c r="D34" s="9">
        <v>8737.7339315213449</v>
      </c>
    </row>
    <row r="35" spans="2:4" ht="15">
      <c r="B35" s="18">
        <v>5</v>
      </c>
      <c r="C35" s="19" t="s">
        <v>35</v>
      </c>
      <c r="D35" s="19"/>
    </row>
    <row r="36" spans="2:4">
      <c r="B36" s="7">
        <v>5.0999999999999996</v>
      </c>
      <c r="C36" s="8" t="s">
        <v>36</v>
      </c>
      <c r="D36" s="9">
        <v>3816.1357331774989</v>
      </c>
    </row>
    <row r="37" spans="2:4">
      <c r="B37" s="7">
        <v>5.2</v>
      </c>
      <c r="C37" s="8" t="s">
        <v>37</v>
      </c>
      <c r="D37" s="9">
        <v>18088.655800877117</v>
      </c>
    </row>
    <row r="38" spans="2:4">
      <c r="B38" s="7">
        <v>5.3</v>
      </c>
      <c r="C38" s="8" t="s">
        <v>38</v>
      </c>
      <c r="D38" s="9">
        <v>4110.3153741032038</v>
      </c>
    </row>
    <row r="39" spans="2:4">
      <c r="B39" s="7">
        <v>5.4</v>
      </c>
      <c r="C39" s="8" t="s">
        <v>39</v>
      </c>
      <c r="D39" s="9">
        <v>3330.108459182341</v>
      </c>
    </row>
    <row r="40" spans="2:4">
      <c r="B40" s="7">
        <v>5.5</v>
      </c>
      <c r="C40" s="8" t="s">
        <v>40</v>
      </c>
      <c r="D40" s="9">
        <v>26538.538785126577</v>
      </c>
    </row>
    <row r="41" spans="2:4">
      <c r="B41" s="7">
        <v>5.6</v>
      </c>
      <c r="C41" s="8" t="s">
        <v>41</v>
      </c>
      <c r="D41" s="9">
        <v>16864.591292264213</v>
      </c>
    </row>
    <row r="42" spans="2:4">
      <c r="B42" s="7">
        <v>5.7</v>
      </c>
      <c r="C42" s="8" t="s">
        <v>42</v>
      </c>
      <c r="D42" s="9">
        <v>6347.7622975031309</v>
      </c>
    </row>
    <row r="43" spans="2:4">
      <c r="B43" s="7">
        <v>5.8</v>
      </c>
      <c r="C43" s="8" t="s">
        <v>43</v>
      </c>
      <c r="D43" s="9">
        <v>9038.6132698727997</v>
      </c>
    </row>
    <row r="44" spans="2:4">
      <c r="B44" s="7">
        <v>5.9</v>
      </c>
      <c r="C44" s="8" t="s">
        <v>44</v>
      </c>
      <c r="D44" s="9">
        <v>6856.5380818669146</v>
      </c>
    </row>
    <row r="45" spans="2:4">
      <c r="B45" s="10">
        <v>5.0999999999999996</v>
      </c>
      <c r="C45" s="8" t="s">
        <v>45</v>
      </c>
      <c r="D45" s="9">
        <v>3594.4511631180635</v>
      </c>
    </row>
    <row r="46" spans="2:4">
      <c r="B46" s="10">
        <v>5.1100000000000003</v>
      </c>
      <c r="C46" s="8" t="s">
        <v>46</v>
      </c>
      <c r="D46" s="9">
        <v>6117.5325768683006</v>
      </c>
    </row>
    <row r="47" spans="2:4">
      <c r="B47" s="10">
        <v>5.12</v>
      </c>
      <c r="C47" s="8" t="s">
        <v>47</v>
      </c>
      <c r="D47" s="9">
        <v>5414.5919048300339</v>
      </c>
    </row>
    <row r="48" spans="2:4">
      <c r="B48" s="10">
        <v>5.13</v>
      </c>
      <c r="C48" s="8" t="s">
        <v>48</v>
      </c>
      <c r="D48" s="9">
        <v>16789.109681215636</v>
      </c>
    </row>
    <row r="49" spans="2:4">
      <c r="B49" s="10">
        <v>5.14</v>
      </c>
      <c r="C49" s="8" t="s">
        <v>49</v>
      </c>
      <c r="D49" s="9">
        <v>1377.2670787976349</v>
      </c>
    </row>
    <row r="50" spans="2:4">
      <c r="B50" s="10">
        <v>5.15</v>
      </c>
      <c r="C50" s="8" t="s">
        <v>50</v>
      </c>
      <c r="D50" s="9">
        <v>18282.715779623108</v>
      </c>
    </row>
    <row r="51" spans="2:4">
      <c r="B51" s="10">
        <v>5.16</v>
      </c>
      <c r="C51" s="8" t="s">
        <v>51</v>
      </c>
      <c r="D51" s="9">
        <v>13279.321386616004</v>
      </c>
    </row>
    <row r="52" spans="2:4">
      <c r="B52" s="10">
        <v>5.17</v>
      </c>
      <c r="C52" s="8" t="s">
        <v>52</v>
      </c>
      <c r="D52" s="9">
        <v>1794.5584474482616</v>
      </c>
    </row>
    <row r="53" spans="2:4" ht="15">
      <c r="B53" s="18">
        <v>6</v>
      </c>
      <c r="C53" s="19" t="s">
        <v>53</v>
      </c>
      <c r="D53" s="19"/>
    </row>
    <row r="54" spans="2:4">
      <c r="B54" s="7">
        <v>6.1</v>
      </c>
      <c r="C54" s="8" t="s">
        <v>54</v>
      </c>
      <c r="D54" s="9">
        <v>17754.798038486551</v>
      </c>
    </row>
    <row r="55" spans="2:4">
      <c r="B55" s="7">
        <v>6.2</v>
      </c>
      <c r="C55" s="8" t="s">
        <v>55</v>
      </c>
      <c r="D55" s="9">
        <v>14066.405326366423</v>
      </c>
    </row>
    <row r="56" spans="2:4">
      <c r="B56" s="7">
        <v>6.3</v>
      </c>
      <c r="C56" s="8" t="s">
        <v>56</v>
      </c>
      <c r="D56" s="9">
        <v>24879.092149369477</v>
      </c>
    </row>
    <row r="57" spans="2:4">
      <c r="B57" s="7">
        <v>6.4</v>
      </c>
      <c r="C57" s="8" t="s">
        <v>57</v>
      </c>
      <c r="D57" s="9">
        <v>11405.377518015996</v>
      </c>
    </row>
    <row r="58" spans="2:4" ht="15" thickBot="1">
      <c r="B58" s="11">
        <v>6.5</v>
      </c>
      <c r="C58" s="12" t="s">
        <v>58</v>
      </c>
      <c r="D58" s="13">
        <v>9495.9974998739799</v>
      </c>
    </row>
    <row r="59" spans="2:4" ht="15.75" thickBot="1">
      <c r="B59" s="47" t="s">
        <v>8</v>
      </c>
      <c r="C59" s="48"/>
      <c r="D59" s="14">
        <f t="shared" ref="D59" si="0">SUM(D12:D58)</f>
        <v>541161.33800000022</v>
      </c>
    </row>
  </sheetData>
  <mergeCells count="3">
    <mergeCell ref="B8:B10"/>
    <mergeCell ref="C8:C10"/>
    <mergeCell ref="B59:C5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25"/>
  <sheetViews>
    <sheetView zoomScale="85" zoomScaleNormal="85" workbookViewId="0">
      <selection activeCell="J30" sqref="J30"/>
    </sheetView>
  </sheetViews>
  <sheetFormatPr defaultRowHeight="14.25"/>
  <cols>
    <col min="1" max="1" width="3.875" customWidth="1"/>
    <col min="2" max="2" width="6.875" bestFit="1" customWidth="1"/>
    <col min="3" max="3" width="10.375" bestFit="1" customWidth="1"/>
    <col min="4" max="4" width="19.625" bestFit="1" customWidth="1"/>
    <col min="5" max="5" width="15.25" bestFit="1" customWidth="1"/>
    <col min="6" max="6" width="14.625" bestFit="1" customWidth="1"/>
    <col min="7" max="7" width="18.625" bestFit="1" customWidth="1"/>
    <col min="8" max="8" width="18.375" customWidth="1"/>
    <col min="9" max="9" width="20.875" customWidth="1"/>
    <col min="10" max="10" width="23.25" customWidth="1"/>
    <col min="11" max="11" width="17.375" customWidth="1"/>
    <col min="12" max="12" width="22.875" customWidth="1"/>
    <col min="13" max="13" width="16.875" customWidth="1"/>
    <col min="14" max="14" width="22.875" customWidth="1"/>
    <col min="15" max="15" width="14.625" customWidth="1"/>
    <col min="16" max="16" width="19.875" customWidth="1"/>
  </cols>
  <sheetData>
    <row r="2" spans="2:16" ht="23.25">
      <c r="B2" s="40" t="s">
        <v>83</v>
      </c>
    </row>
    <row r="4" spans="2:16" ht="15">
      <c r="B4" s="21" t="s">
        <v>59</v>
      </c>
      <c r="C4" s="20">
        <v>45334</v>
      </c>
    </row>
    <row r="5" spans="2:16" ht="15">
      <c r="B5" s="21" t="s">
        <v>84</v>
      </c>
      <c r="C5" s="20">
        <v>45396</v>
      </c>
    </row>
    <row r="6" spans="2:16" ht="15">
      <c r="B6" s="21"/>
      <c r="C6" s="20"/>
    </row>
    <row r="7" spans="2:16" ht="15">
      <c r="L7" s="49" t="s">
        <v>60</v>
      </c>
      <c r="M7" s="49"/>
      <c r="N7" s="49"/>
      <c r="O7" s="49"/>
    </row>
    <row r="8" spans="2:16" s="22" customFormat="1" ht="44.1" customHeight="1" thickBot="1">
      <c r="B8" s="24" t="s">
        <v>61</v>
      </c>
      <c r="C8" s="25" t="s">
        <v>62</v>
      </c>
      <c r="D8" s="25" t="s">
        <v>63</v>
      </c>
      <c r="E8" s="25" t="s">
        <v>64</v>
      </c>
      <c r="F8" s="25" t="s">
        <v>65</v>
      </c>
      <c r="G8" s="25" t="s">
        <v>66</v>
      </c>
      <c r="H8" s="25" t="s">
        <v>67</v>
      </c>
      <c r="I8" s="25" t="s">
        <v>68</v>
      </c>
      <c r="J8" s="25" t="s">
        <v>69</v>
      </c>
      <c r="K8" s="25" t="s">
        <v>66</v>
      </c>
      <c r="L8" s="25" t="s">
        <v>70</v>
      </c>
      <c r="M8" s="25" t="s">
        <v>71</v>
      </c>
      <c r="N8" s="25" t="s">
        <v>72</v>
      </c>
      <c r="O8" s="25" t="s">
        <v>73</v>
      </c>
      <c r="P8" s="25" t="s">
        <v>74</v>
      </c>
    </row>
    <row r="9" spans="2:16">
      <c r="B9" s="26">
        <v>6</v>
      </c>
      <c r="C9" s="27" t="s">
        <v>75</v>
      </c>
      <c r="D9" s="27" t="s">
        <v>76</v>
      </c>
      <c r="E9" s="27">
        <v>241.9</v>
      </c>
      <c r="F9" s="27">
        <v>356</v>
      </c>
      <c r="G9" s="37">
        <v>567100</v>
      </c>
      <c r="H9" s="32">
        <v>3199.6800000000003</v>
      </c>
      <c r="I9" s="32">
        <v>2506.6580000000004</v>
      </c>
      <c r="J9" s="32">
        <v>-2145</v>
      </c>
      <c r="K9" s="37">
        <v>570661.33800000011</v>
      </c>
      <c r="L9" s="31">
        <v>4278</v>
      </c>
      <c r="M9" s="32">
        <v>1100</v>
      </c>
      <c r="N9" s="32"/>
      <c r="O9" s="32">
        <v>2970</v>
      </c>
      <c r="P9" s="37">
        <v>579009.33800000011</v>
      </c>
    </row>
    <row r="10" spans="2:16">
      <c r="B10" s="28">
        <v>9</v>
      </c>
      <c r="C10" s="1">
        <v>10.5</v>
      </c>
      <c r="D10" s="1" t="s">
        <v>77</v>
      </c>
      <c r="E10" s="1">
        <v>226.79999999999998</v>
      </c>
      <c r="F10" s="1">
        <v>302.89999999999998</v>
      </c>
      <c r="G10" s="38">
        <v>537600</v>
      </c>
      <c r="H10" s="34">
        <v>3199.6800000000003</v>
      </c>
      <c r="I10" s="34">
        <v>2506.6580000000004</v>
      </c>
      <c r="J10" s="34">
        <v>-2145</v>
      </c>
      <c r="K10" s="38">
        <v>541161.33800000011</v>
      </c>
      <c r="L10" s="33">
        <v>4278</v>
      </c>
      <c r="M10" s="34">
        <v>1100</v>
      </c>
      <c r="N10" s="34"/>
      <c r="O10" s="34"/>
      <c r="P10" s="38">
        <v>546539.33800000011</v>
      </c>
    </row>
    <row r="11" spans="2:16">
      <c r="B11" s="28">
        <v>11</v>
      </c>
      <c r="C11" s="1">
        <v>10.5</v>
      </c>
      <c r="D11" s="1" t="s">
        <v>77</v>
      </c>
      <c r="E11" s="1">
        <v>227.5</v>
      </c>
      <c r="F11" s="1">
        <v>273</v>
      </c>
      <c r="G11" s="38">
        <v>543000</v>
      </c>
      <c r="H11" s="34">
        <v>3199.6800000000003</v>
      </c>
      <c r="I11" s="34">
        <v>2506.6580000000004</v>
      </c>
      <c r="J11" s="34">
        <v>-2145</v>
      </c>
      <c r="K11" s="38">
        <v>546561.33800000011</v>
      </c>
      <c r="L11" s="33">
        <v>4278</v>
      </c>
      <c r="M11" s="34">
        <v>1100</v>
      </c>
      <c r="N11" s="34"/>
      <c r="O11" s="34">
        <v>2472</v>
      </c>
      <c r="P11" s="38">
        <v>554411.33800000011</v>
      </c>
    </row>
    <row r="12" spans="2:16">
      <c r="B12" s="28">
        <v>12</v>
      </c>
      <c r="C12" s="1">
        <v>10.5</v>
      </c>
      <c r="D12" s="1" t="s">
        <v>77</v>
      </c>
      <c r="E12" s="1">
        <v>226.79999999999998</v>
      </c>
      <c r="F12" s="1">
        <v>273</v>
      </c>
      <c r="G12" s="38">
        <v>536200</v>
      </c>
      <c r="H12" s="34">
        <v>3199.6800000000003</v>
      </c>
      <c r="I12" s="34">
        <v>2506.6580000000004</v>
      </c>
      <c r="J12" s="34">
        <v>-2145</v>
      </c>
      <c r="K12" s="38">
        <v>539761.33800000011</v>
      </c>
      <c r="L12" s="33">
        <v>4278</v>
      </c>
      <c r="M12" s="34">
        <v>1100</v>
      </c>
      <c r="N12" s="34"/>
      <c r="O12" s="34">
        <v>2472</v>
      </c>
      <c r="P12" s="38">
        <v>547611.33800000011</v>
      </c>
    </row>
    <row r="13" spans="2:16">
      <c r="B13" s="28">
        <v>13</v>
      </c>
      <c r="C13" s="1">
        <v>10.5</v>
      </c>
      <c r="D13" s="1" t="s">
        <v>77</v>
      </c>
      <c r="E13" s="1">
        <v>226.79999999999998</v>
      </c>
      <c r="F13" s="1">
        <v>273</v>
      </c>
      <c r="G13" s="38">
        <v>528800</v>
      </c>
      <c r="H13" s="34">
        <v>3199.6800000000003</v>
      </c>
      <c r="I13" s="34">
        <v>2506.6580000000004</v>
      </c>
      <c r="J13" s="34">
        <v>-2145</v>
      </c>
      <c r="K13" s="38">
        <v>532361.33800000011</v>
      </c>
      <c r="L13" s="33">
        <v>4278</v>
      </c>
      <c r="M13" s="34">
        <v>1100</v>
      </c>
      <c r="N13" s="34"/>
      <c r="O13" s="34">
        <v>2472</v>
      </c>
      <c r="P13" s="38">
        <v>540211.33800000011</v>
      </c>
    </row>
    <row r="14" spans="2:16">
      <c r="B14" s="28">
        <v>14</v>
      </c>
      <c r="C14" s="1">
        <v>10.5</v>
      </c>
      <c r="D14" s="1" t="s">
        <v>77</v>
      </c>
      <c r="E14" s="1">
        <v>227.20000000000002</v>
      </c>
      <c r="F14" s="1">
        <v>273</v>
      </c>
      <c r="G14" s="38">
        <v>549200</v>
      </c>
      <c r="H14" s="34">
        <v>3199.6800000000003</v>
      </c>
      <c r="I14" s="34">
        <v>2506.6580000000004</v>
      </c>
      <c r="J14" s="34">
        <v>-2145</v>
      </c>
      <c r="K14" s="38">
        <v>552761.33800000011</v>
      </c>
      <c r="L14" s="33">
        <v>4278</v>
      </c>
      <c r="M14" s="34">
        <v>1100</v>
      </c>
      <c r="N14" s="34"/>
      <c r="O14" s="34"/>
      <c r="P14" s="38">
        <v>558139.33800000011</v>
      </c>
    </row>
    <row r="15" spans="2:16">
      <c r="B15" s="28">
        <v>15</v>
      </c>
      <c r="C15" s="1">
        <v>10.5</v>
      </c>
      <c r="D15" s="1" t="s">
        <v>77</v>
      </c>
      <c r="E15" s="1">
        <v>227.5</v>
      </c>
      <c r="F15" s="1">
        <v>273</v>
      </c>
      <c r="G15" s="38">
        <v>543400</v>
      </c>
      <c r="H15" s="34">
        <v>3199.6800000000003</v>
      </c>
      <c r="I15" s="34">
        <v>2506.6580000000004</v>
      </c>
      <c r="J15" s="34">
        <v>-2145</v>
      </c>
      <c r="K15" s="38">
        <v>546961.33800000011</v>
      </c>
      <c r="L15" s="33">
        <v>4278</v>
      </c>
      <c r="M15" s="34">
        <v>1100</v>
      </c>
      <c r="N15" s="34"/>
      <c r="O15" s="34"/>
      <c r="P15" s="38">
        <v>552339.33800000011</v>
      </c>
    </row>
    <row r="16" spans="2:16">
      <c r="B16" s="28">
        <v>16</v>
      </c>
      <c r="C16" s="1">
        <v>10.5</v>
      </c>
      <c r="D16" s="1" t="s">
        <v>77</v>
      </c>
      <c r="E16" s="1">
        <v>226.79999999999998</v>
      </c>
      <c r="F16" s="1">
        <v>273</v>
      </c>
      <c r="G16" s="38">
        <v>534800</v>
      </c>
      <c r="H16" s="34">
        <v>3199.6800000000003</v>
      </c>
      <c r="I16" s="34">
        <v>2506.6580000000004</v>
      </c>
      <c r="J16" s="34">
        <v>-2145</v>
      </c>
      <c r="K16" s="38">
        <v>538361.33800000011</v>
      </c>
      <c r="L16" s="33">
        <v>4278</v>
      </c>
      <c r="M16" s="34">
        <v>1100</v>
      </c>
      <c r="N16" s="34"/>
      <c r="O16" s="34">
        <v>2472</v>
      </c>
      <c r="P16" s="38">
        <v>546211.33800000011</v>
      </c>
    </row>
    <row r="17" spans="2:16">
      <c r="B17" s="28">
        <v>18</v>
      </c>
      <c r="C17" s="1" t="s">
        <v>78</v>
      </c>
      <c r="D17" s="1" t="s">
        <v>77</v>
      </c>
      <c r="E17" s="1">
        <v>250.8</v>
      </c>
      <c r="F17" s="1">
        <v>322.3</v>
      </c>
      <c r="G17" s="38">
        <v>550400</v>
      </c>
      <c r="H17" s="34">
        <v>3199.6800000000003</v>
      </c>
      <c r="I17" s="34">
        <v>2506.6580000000004</v>
      </c>
      <c r="J17" s="34">
        <v>-2145</v>
      </c>
      <c r="K17" s="38">
        <v>553961.33800000011</v>
      </c>
      <c r="L17" s="33">
        <v>4278</v>
      </c>
      <c r="M17" s="34">
        <v>1100</v>
      </c>
      <c r="N17" s="34"/>
      <c r="O17" s="34"/>
      <c r="P17" s="38">
        <v>559339.33800000011</v>
      </c>
    </row>
    <row r="18" spans="2:16" ht="15" thickBot="1">
      <c r="B18" s="29">
        <v>19</v>
      </c>
      <c r="C18" s="30">
        <v>10.5</v>
      </c>
      <c r="D18" s="30" t="s">
        <v>77</v>
      </c>
      <c r="E18" s="30">
        <v>226.79999999999998</v>
      </c>
      <c r="F18" s="30">
        <v>273</v>
      </c>
      <c r="G18" s="39">
        <v>536500</v>
      </c>
      <c r="H18" s="36">
        <v>3199.6800000000003</v>
      </c>
      <c r="I18" s="36">
        <v>2506.6580000000004</v>
      </c>
      <c r="J18" s="36">
        <v>-2145</v>
      </c>
      <c r="K18" s="39">
        <v>540061.33800000011</v>
      </c>
      <c r="L18" s="35">
        <v>4278</v>
      </c>
      <c r="M18" s="36">
        <v>1100</v>
      </c>
      <c r="N18" s="36"/>
      <c r="O18" s="36"/>
      <c r="P18" s="39">
        <v>545439.33800000011</v>
      </c>
    </row>
    <row r="20" spans="2:16" ht="15">
      <c r="F20" s="21" t="s">
        <v>79</v>
      </c>
      <c r="G20" s="2">
        <f>SUM(G9:G18)</f>
        <v>5427000</v>
      </c>
      <c r="K20" s="2">
        <f>SUM(K9:K18)</f>
        <v>5462613.3800000018</v>
      </c>
      <c r="L20" s="2">
        <f>SUM(L9:L18)</f>
        <v>42780</v>
      </c>
      <c r="M20" s="2">
        <f t="shared" ref="M20:P20" si="0">SUM(M9:M18)</f>
        <v>11000</v>
      </c>
      <c r="N20" s="2">
        <f t="shared" si="0"/>
        <v>0</v>
      </c>
      <c r="O20" s="2">
        <f t="shared" si="0"/>
        <v>12858</v>
      </c>
      <c r="P20" s="2">
        <f t="shared" si="0"/>
        <v>5529251.3800000018</v>
      </c>
    </row>
    <row r="21" spans="2:16" ht="15">
      <c r="F21" s="21" t="s">
        <v>80</v>
      </c>
      <c r="G21" s="2">
        <f>G20/1.1</f>
        <v>4933636.3636363633</v>
      </c>
      <c r="K21" s="2">
        <f>K20/1.1</f>
        <v>4966012.163636365</v>
      </c>
      <c r="L21" s="2">
        <f>L20/1.1</f>
        <v>38890.909090909088</v>
      </c>
      <c r="M21" s="2">
        <f t="shared" ref="M21:P21" si="1">M20/1.1</f>
        <v>10000</v>
      </c>
      <c r="N21" s="2">
        <f t="shared" si="1"/>
        <v>0</v>
      </c>
      <c r="O21" s="2">
        <f t="shared" si="1"/>
        <v>11689.090909090908</v>
      </c>
      <c r="P21" s="2">
        <f t="shared" si="1"/>
        <v>5026592.163636365</v>
      </c>
    </row>
    <row r="23" spans="2:16" ht="15">
      <c r="N23" s="21" t="s">
        <v>81</v>
      </c>
      <c r="P23" s="2">
        <f>P21-K21</f>
        <v>60580</v>
      </c>
    </row>
    <row r="25" spans="2:16">
      <c r="B25" s="23" t="s">
        <v>82</v>
      </c>
    </row>
  </sheetData>
  <mergeCells count="1">
    <mergeCell ref="L7:O7"/>
  </mergeCells>
  <pageMargins left="0.7" right="0.7" top="0.75" bottom="0.75" header="0.3" footer="0.3"/>
  <pageSetup paperSize="9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 Trade Breakdown</vt:lpstr>
      <vt:lpstr>Variations &gt;&gt;&gt;</vt:lpstr>
      <vt:lpstr>Var01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Torville</dc:creator>
  <cp:lastModifiedBy>Orlando Clifton</cp:lastModifiedBy>
  <cp:lastPrinted>2024-05-03T01:35:41Z</cp:lastPrinted>
  <dcterms:created xsi:type="dcterms:W3CDTF">2024-05-01T02:39:09Z</dcterms:created>
  <dcterms:modified xsi:type="dcterms:W3CDTF">2026-05-30T01:02:31Z</dcterms:modified>
</cp:coreProperties>
</file>